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Gamedev\Excel\Cellsweeper\"/>
    </mc:Choice>
  </mc:AlternateContent>
  <bookViews>
    <workbookView xWindow="240" yWindow="75" windowWidth="19320" windowHeight="7995"/>
  </bookViews>
  <sheets>
    <sheet name="Main" sheetId="5" r:id="rId1"/>
    <sheet name="Game" sheetId="1" state="hidden" r:id="rId2"/>
    <sheet name="About" sheetId="8" state="hidden" r:id="rId3"/>
    <sheet name="Help" sheetId="6" state="hidden" r:id="rId4"/>
  </sheets>
  <functionGroups builtInGroupCount="18"/>
  <definedNames>
    <definedName name="enemy_blue" localSheetId="2">enemies[Blue]</definedName>
    <definedName name="enemy_blue">enemies[Blue]</definedName>
    <definedName name="enemy_chance">Game!$AW$23</definedName>
    <definedName name="enemy_char_dungeon" localSheetId="2">enemies[char]</definedName>
    <definedName name="enemy_char_dungeon">enemies[char]</definedName>
    <definedName name="enemy_distribution" localSheetId="2">enemies[distribution]</definedName>
    <definedName name="enemy_distribution">enemies[distribution]</definedName>
    <definedName name="enemy_green" localSheetId="2">enemies[Green]</definedName>
    <definedName name="enemy_green">enemies[Green]</definedName>
    <definedName name="enemy_level_up_chance">Game!$AW$24</definedName>
    <definedName name="enemy_red" localSheetId="2">enemies[Red]</definedName>
    <definedName name="enemy_red">enemies[Red]</definedName>
    <definedName name="enemy_xp" localSheetId="2">enemies[enemy_xp]</definedName>
    <definedName name="enemy_xp">enemies[enemy_xp]</definedName>
    <definedName name="help_viewed">Main!$Q$9</definedName>
    <definedName name="portrait">Game!$D$8</definedName>
    <definedName name="rAbility">Game!$F$10</definedName>
    <definedName name="rBoard">Game!$J$7:$AR$26</definedName>
    <definedName name="rClass">Game!$F$8</definedName>
    <definedName name="rClassPicked">Main!$Q$3</definedName>
    <definedName name="rFighter">Main!$R$27</definedName>
    <definedName name="rHP">Game!$F$12</definedName>
    <definedName name="rIsLocked">Main!$Q$5</definedName>
    <definedName name="rLevel">Game!$F$9</definedName>
    <definedName name="rMaxHP">Game!$AV$15</definedName>
    <definedName name="rTime">Game!$F$14</definedName>
    <definedName name="rXP">Game!$F$13</definedName>
    <definedName name="rXPLabel">Game!$D$13</definedName>
    <definedName name="test">Game!#REF!</definedName>
    <definedName name="xp_conditional">Game!$AV$16</definedName>
    <definedName name="xp_to_next" localSheetId="2">enemies[xp]</definedName>
    <definedName name="xp_to_next">enemies[xp]</definedName>
  </definedNames>
  <calcPr calcId="152511"/>
</workbook>
</file>

<file path=xl/calcChain.xml><?xml version="1.0" encoding="utf-8"?>
<calcChain xmlns="http://schemas.openxmlformats.org/spreadsheetml/2006/main">
  <c r="U38" i="6" l="1"/>
  <c r="U37" i="6"/>
  <c r="U36" i="6"/>
  <c r="U35" i="6"/>
  <c r="J37" i="6"/>
  <c r="J38" i="6"/>
  <c r="J39" i="6"/>
  <c r="J40" i="6"/>
  <c r="J36" i="6"/>
  <c r="F20" i="1" l="1"/>
  <c r="F21" i="1"/>
  <c r="F22" i="1"/>
  <c r="F23" i="1"/>
  <c r="F19" i="1"/>
  <c r="Q5" i="5" l="1"/>
  <c r="D7" i="5" l="1"/>
  <c r="D11" i="5"/>
  <c r="H12" i="5"/>
  <c r="H14" i="5"/>
  <c r="D9" i="5"/>
  <c r="H11" i="5"/>
  <c r="D6" i="5"/>
  <c r="H15" i="5"/>
  <c r="G6" i="5"/>
  <c r="H6" i="5"/>
  <c r="AW21" i="1" l="1"/>
</calcChain>
</file>

<file path=xl/comments1.xml><?xml version="1.0" encoding="utf-8"?>
<comments xmlns="http://schemas.openxmlformats.org/spreadsheetml/2006/main">
  <authors>
    <author>Wil</author>
  </authors>
  <commentList>
    <comment ref="F10" authorId="0" shapeId="0">
      <text>
        <r>
          <rPr>
            <sz val="9"/>
            <color indexed="81"/>
            <rFont val="Tahoma"/>
            <family val="2"/>
          </rPr>
          <t>Gain extra XP from exploring, but lose XP from fighting
(This does not cause you to lose levels)</t>
        </r>
      </text>
    </comment>
    <comment ref="D14" authorId="0" shapeId="0">
      <text>
        <r>
          <rPr>
            <sz val="9"/>
            <color indexed="81"/>
            <rFont val="Tahoma"/>
            <family val="2"/>
          </rPr>
          <t>Updates on click</t>
        </r>
      </text>
    </comment>
  </commentList>
</comments>
</file>

<file path=xl/comments2.xml><?xml version="1.0" encoding="utf-8"?>
<comments xmlns="http://schemas.openxmlformats.org/spreadsheetml/2006/main">
  <authors>
    <author>Wil</author>
  </authors>
  <commentList>
    <comment ref="AB44" authorId="0" shapeId="0">
      <text>
        <r>
          <rPr>
            <sz val="9"/>
            <color indexed="81"/>
            <rFont val="Tahoma"/>
            <family val="2"/>
          </rPr>
          <t>At level 1, you should try to avoid monsters.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specifically,
Monster LVL * (Monster LVL - Your LVL)</t>
        </r>
      </text>
    </comment>
  </commentList>
</comments>
</file>

<file path=xl/sharedStrings.xml><?xml version="1.0" encoding="utf-8"?>
<sst xmlns="http://schemas.openxmlformats.org/spreadsheetml/2006/main" count="214" uniqueCount="163">
  <si>
    <t>Level</t>
  </si>
  <si>
    <t>a</t>
  </si>
  <si>
    <t>b</t>
  </si>
  <si>
    <t>f</t>
  </si>
  <si>
    <t>s</t>
  </si>
  <si>
    <t>t</t>
  </si>
  <si>
    <t>Barbarian</t>
  </si>
  <si>
    <t>&gt;</t>
  </si>
  <si>
    <t>w</t>
  </si>
  <si>
    <t>B</t>
  </si>
  <si>
    <t>G</t>
  </si>
  <si>
    <t>N</t>
  </si>
  <si>
    <t>S</t>
  </si>
  <si>
    <t>W</t>
  </si>
  <si>
    <t>Z</t>
  </si>
  <si>
    <t>enemy chance</t>
  </si>
  <si>
    <t>Board Cells</t>
  </si>
  <si>
    <t>Red</t>
  </si>
  <si>
    <t>Green</t>
  </si>
  <si>
    <t>Blue</t>
  </si>
  <si>
    <t>enemy_xp</t>
  </si>
  <si>
    <t>Bat</t>
  </si>
  <si>
    <t>CellSweeper</t>
  </si>
  <si>
    <t>Fighter</t>
  </si>
  <si>
    <t>Enemy data</t>
  </si>
  <si>
    <t>Conditional Formatting assist</t>
  </si>
  <si>
    <t>BOARD_LENGTH</t>
  </si>
  <si>
    <t>BOARD_HEIGHT</t>
  </si>
  <si>
    <t xml:space="preserve">Assumptions </t>
  </si>
  <si>
    <t>Health</t>
  </si>
  <si>
    <t>enemy_level_up_chance</t>
  </si>
  <si>
    <t>Tough</t>
  </si>
  <si>
    <t>v1.0</t>
  </si>
  <si>
    <t>Picture</t>
  </si>
  <si>
    <t>HP</t>
  </si>
  <si>
    <t>Ability</t>
  </si>
  <si>
    <t>Description</t>
  </si>
  <si>
    <t>Welcome, adventurer!</t>
  </si>
  <si>
    <t>Locked</t>
  </si>
  <si>
    <t>Locked Message</t>
  </si>
  <si>
    <t>Linked</t>
  </si>
  <si>
    <t>You take:</t>
  </si>
  <si>
    <t>Enemy is:</t>
  </si>
  <si>
    <t>Lower level than you</t>
  </si>
  <si>
    <t>no damage</t>
  </si>
  <si>
    <t>Equal level</t>
  </si>
  <si>
    <t>1 damage</t>
  </si>
  <si>
    <t>Higher level</t>
  </si>
  <si>
    <t xml:space="preserve">Cellsweeper </t>
  </si>
  <si>
    <t>a lot of damage</t>
  </si>
  <si>
    <t>Zombie</t>
  </si>
  <si>
    <t>Skeleton</t>
  </si>
  <si>
    <t>Ghost</t>
  </si>
  <si>
    <t>Wraith</t>
  </si>
  <si>
    <t xml:space="preserve">LV3 </t>
  </si>
  <si>
    <t>LV4</t>
  </si>
  <si>
    <t>LV5</t>
  </si>
  <si>
    <t>Necromancer</t>
  </si>
  <si>
    <t>Enemies:</t>
  </si>
  <si>
    <t>LV1</t>
  </si>
  <si>
    <t>LV2</t>
  </si>
  <si>
    <t>The Minesweeper RPG</t>
  </si>
  <si>
    <t>Time</t>
  </si>
  <si>
    <t>Times played</t>
  </si>
  <si>
    <t>Times won</t>
  </si>
  <si>
    <t>Colors</t>
  </si>
  <si>
    <t>Name</t>
  </si>
  <si>
    <t>text</t>
  </si>
  <si>
    <t>cell_closed</t>
  </si>
  <si>
    <t>cell_open</t>
  </si>
  <si>
    <t>portrait</t>
  </si>
  <si>
    <t>hurt</t>
  </si>
  <si>
    <t>fight</t>
  </si>
  <si>
    <t>level_up</t>
  </si>
  <si>
    <t>cell_border_exterior</t>
  </si>
  <si>
    <t>cell_border_interior</t>
  </si>
  <si>
    <t>is_locked</t>
  </si>
  <si>
    <t>Played</t>
  </si>
  <si>
    <t>Won</t>
  </si>
  <si>
    <t>HighScore</t>
  </si>
  <si>
    <t>Class</t>
  </si>
  <si>
    <t>Vampire Bat</t>
  </si>
  <si>
    <r>
      <t>As a rule, you want to fight monsters</t>
    </r>
    <r>
      <rPr>
        <b/>
        <sz val="11"/>
        <color theme="1"/>
        <rFont val="Calibri"/>
        <family val="2"/>
        <scheme val="minor"/>
      </rPr>
      <t xml:space="preserve"> lower level than you </t>
    </r>
    <r>
      <rPr>
        <sz val="11"/>
        <color theme="1"/>
        <rFont val="Calibri"/>
        <family val="2"/>
        <scheme val="minor"/>
      </rPr>
      <t xml:space="preserve">and avoid monsters </t>
    </r>
    <r>
      <rPr>
        <b/>
        <sz val="11"/>
        <color theme="1"/>
        <rFont val="Calibri"/>
        <family val="2"/>
        <scheme val="minor"/>
      </rPr>
      <t>equal or higher level than you.</t>
    </r>
  </si>
  <si>
    <r>
      <t xml:space="preserve">You start the adventure in a random square in the necromancer's lair, and uncover more of the lair of the dungeon by </t>
    </r>
    <r>
      <rPr>
        <b/>
        <sz val="11"/>
        <color theme="1"/>
        <rFont val="Calibri"/>
        <family val="2"/>
        <scheme val="minor"/>
      </rPr>
      <t xml:space="preserve">left-clicking </t>
    </r>
    <r>
      <rPr>
        <sz val="11"/>
        <color theme="1"/>
        <rFont val="Calibri"/>
        <family val="2"/>
        <scheme val="minor"/>
      </rPr>
      <t xml:space="preserve">tiles.  </t>
    </r>
  </si>
  <si>
    <r>
      <t xml:space="preserve">You can only click tiles which are </t>
    </r>
    <r>
      <rPr>
        <b/>
        <sz val="11"/>
        <color theme="1"/>
        <rFont val="Calibri"/>
        <family val="2"/>
        <scheme val="minor"/>
      </rPr>
      <t>connected by at least one wall</t>
    </r>
    <r>
      <rPr>
        <sz val="11"/>
        <color theme="1"/>
        <rFont val="Calibri"/>
        <family val="2"/>
        <scheme val="minor"/>
      </rPr>
      <t xml:space="preserve"> to tiles you've visited.</t>
    </r>
  </si>
  <si>
    <t xml:space="preserve">www.hojamaka.com/game/mamono_sweeper/
</t>
  </si>
  <si>
    <t>Technical Specifications</t>
  </si>
  <si>
    <t>https://thewrongtools.wordpress.com/</t>
  </si>
  <si>
    <t>Version Control</t>
  </si>
  <si>
    <t>first version released.</t>
  </si>
  <si>
    <t>About Cellsweeper</t>
  </si>
  <si>
    <t>Heals 1 HP upon level up</t>
  </si>
  <si>
    <t>Explore 40% of the board without finding a single monster!</t>
  </si>
  <si>
    <t>Win with the entire board cleared!</t>
  </si>
  <si>
    <t>Reach level 3 without taking any damage!</t>
  </si>
  <si>
    <t>Beat the dungeon once!</t>
  </si>
  <si>
    <t>names</t>
  </si>
  <si>
    <t>Assassin</t>
  </si>
  <si>
    <t>Rogue</t>
  </si>
  <si>
    <t>Mage</t>
  </si>
  <si>
    <t>Backstab</t>
  </si>
  <si>
    <t>Secret Passage</t>
  </si>
  <si>
    <t>Teleport</t>
  </si>
  <si>
    <t>Monk</t>
  </si>
  <si>
    <t>Pacifist</t>
  </si>
  <si>
    <t>Wild Swing</t>
  </si>
  <si>
    <t>No movement restrictions</t>
  </si>
  <si>
    <t>Starts the game in a wide open space</t>
  </si>
  <si>
    <t>Defeating a monster also opens up all free squares around that monster</t>
  </si>
  <si>
    <r>
      <t xml:space="preserve">Once you hit </t>
    </r>
    <r>
      <rPr>
        <b/>
        <sz val="11"/>
        <color theme="1"/>
        <rFont val="Calibri"/>
        <family val="2"/>
        <scheme val="minor"/>
      </rPr>
      <t>level 5,</t>
    </r>
    <r>
      <rPr>
        <sz val="11"/>
        <color theme="1"/>
        <rFont val="Calibri"/>
        <family val="2"/>
        <scheme val="minor"/>
      </rPr>
      <t xml:space="preserve"> you can start hunting the necromancer. Once you click on his square, you win the game!</t>
    </r>
  </si>
  <si>
    <t>Stats</t>
  </si>
  <si>
    <t>High Score:</t>
  </si>
  <si>
    <t>FastestTime</t>
  </si>
  <si>
    <t>index</t>
  </si>
  <si>
    <t>Developed by Wil</t>
  </si>
  <si>
    <t>Tested on 1920 x 1080 resolution; lower resolutions or non-widescreen resolutions may need to zoom</t>
  </si>
  <si>
    <t>Requires the font "cellsweeper", packaged with the game.</t>
  </si>
  <si>
    <t>Requires enabling macros to run</t>
  </si>
  <si>
    <t>Necromancer (Boss)</t>
  </si>
  <si>
    <t>Fastest Clear:</t>
  </si>
  <si>
    <t>N/A</t>
  </si>
  <si>
    <t>count</t>
  </si>
  <si>
    <t>char</t>
  </si>
  <si>
    <t>distribution</t>
  </si>
  <si>
    <t>xp</t>
  </si>
  <si>
    <t>Difficulty</t>
  </si>
  <si>
    <t>***</t>
  </si>
  <si>
    <t>*--</t>
  </si>
  <si>
    <t>**-</t>
  </si>
  <si>
    <t>help_viewed</t>
  </si>
  <si>
    <t>Exploring a new tile</t>
  </si>
  <si>
    <t>XP Gained</t>
  </si>
  <si>
    <t xml:space="preserve">Defeat LV1 </t>
  </si>
  <si>
    <t>Defeat LV2</t>
  </si>
  <si>
    <t>Defeat LV3</t>
  </si>
  <si>
    <t>Defeat LV4</t>
  </si>
  <si>
    <t>Defeat LV5</t>
  </si>
  <si>
    <t>Action</t>
  </si>
  <si>
    <t>Objective</t>
  </si>
  <si>
    <t>Use logic (and a little luck) to avoid the strong monsters until you're ready to fight them.</t>
  </si>
  <si>
    <t>XP Needed to Level Up</t>
  </si>
  <si>
    <t>N/A (Max level)</t>
  </si>
  <si>
    <t>1. Grow from level 1 to level 5, then</t>
  </si>
  <si>
    <t>Winning and Losing</t>
  </si>
  <si>
    <t>If you run out of health, or attack the necromancer before reaching level 5, you lose.</t>
  </si>
  <si>
    <t xml:space="preserve">The numbers on tiles show the total level of the monsters in the eight tiles surrounding it.  </t>
  </si>
  <si>
    <t xml:space="preserve">Aside from the necromancer, monsters are scattered around his lair. </t>
  </si>
  <si>
    <t>Click on a monster tile to fight that monster (possibly getting hurt in the process).</t>
  </si>
  <si>
    <t>2. Find and defeat the necromancer.</t>
  </si>
  <si>
    <r>
      <t xml:space="preserve">You start at level 1, </t>
    </r>
    <r>
      <rPr>
        <sz val="11"/>
        <color theme="1"/>
        <rFont val="Calibri"/>
        <family val="2"/>
        <scheme val="minor"/>
      </rPr>
      <t xml:space="preserve">and gain experience points (XP) by </t>
    </r>
    <r>
      <rPr>
        <b/>
        <sz val="11"/>
        <color theme="1"/>
        <rFont val="Calibri"/>
        <family val="2"/>
        <scheme val="minor"/>
      </rPr>
      <t>exploring the dungeon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defeating monsters.</t>
    </r>
    <r>
      <rPr>
        <sz val="11"/>
        <color theme="1"/>
        <rFont val="Calibri"/>
        <family val="2"/>
        <scheme val="minor"/>
      </rPr>
      <t xml:space="preserve"> Gain enough XP and you level up.</t>
    </r>
  </si>
  <si>
    <t>Gain extra XP from exploring, but lose XP from fighting
(This does not cause you to lose levels)</t>
  </si>
  <si>
    <t>Developed and tested on Win7, Excel 2013 64-bit.</t>
  </si>
  <si>
    <t>Released 8/31/2015</t>
  </si>
  <si>
    <t>Cellsweeper is inspired by Mamono Sweeper</t>
  </si>
  <si>
    <t>For other excel games and contact:</t>
  </si>
  <si>
    <r>
      <t>You can defeat a monster *exactly* the same level as you by</t>
    </r>
    <r>
      <rPr>
        <b/>
        <sz val="11"/>
        <color theme="1"/>
        <rFont val="Calibri"/>
        <family val="2"/>
        <scheme val="minor"/>
      </rPr>
      <t xml:space="preserve"> right-clicking</t>
    </r>
    <r>
      <rPr>
        <sz val="11"/>
        <color theme="1"/>
        <rFont val="Calibri"/>
        <family val="2"/>
        <scheme val="minor"/>
      </rPr>
      <t xml:space="preserve"> on the tile.  If you guessed wrong, lose 1 HP.</t>
    </r>
  </si>
  <si>
    <t>v1.1</t>
  </si>
  <si>
    <t>Assassin intro text changed to be specific that backstab only works on enemies of the exact same level</t>
  </si>
  <si>
    <t>Fixed assassin bug: Clicking on a wide open space only deals 1 backstab damage instead of multiple</t>
  </si>
  <si>
    <t>Release 9/2/2015</t>
  </si>
  <si>
    <t>Level 2</t>
  </si>
  <si>
    <t>XP to LV3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</si>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</sst>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;;"/>
    <numFmt numFmtId="165" formatCode="hh:mm:ss;@"/>
  </numFmts>
  <fonts count="24" x14ac:knownFonts="1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ellsweeper"/>
    </font>
    <font>
      <sz val="10"/>
      <color rgb="FFBFBFBF"/>
      <name val="Calibri"/>
      <family val="2"/>
      <scheme val="minor"/>
    </font>
    <font>
      <sz val="10"/>
      <color rgb="FFBFBFBF"/>
      <name val="Calibri"/>
      <family val="2"/>
    </font>
    <font>
      <i/>
      <sz val="11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ellsweeper"/>
    </font>
    <font>
      <sz val="11"/>
      <color theme="0"/>
      <name val="Cellsweepe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25"/>
      <color theme="1"/>
      <name val="Cellsweeper"/>
    </font>
    <font>
      <b/>
      <sz val="25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50"/>
      <color theme="1"/>
      <name val="Cellsweepe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ellsweeper"/>
    </font>
    <font>
      <sz val="10"/>
      <color rgb="FF000000"/>
      <name val="Cellsweeper"/>
    </font>
  </fonts>
  <fills count="1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1EBB1"/>
        <bgColor indexed="64"/>
      </patternFill>
    </fill>
    <fill>
      <patternFill patternType="solid">
        <fgColor rgb="FFEBE177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/>
      <diagonal/>
    </border>
    <border>
      <left style="thin">
        <color rgb="FFF2F2F2"/>
      </left>
      <right/>
      <top style="thin">
        <color rgb="FFF2F2F2"/>
      </top>
      <bottom style="thin">
        <color rgb="FFF2F2F2"/>
      </bottom>
      <diagonal/>
    </border>
    <border>
      <left/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/>
      <top/>
      <bottom style="thin">
        <color rgb="FFF2F2F2"/>
      </bottom>
      <diagonal/>
    </border>
    <border>
      <left style="thin">
        <color rgb="FFF2F2F2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F2F2F2"/>
      </right>
      <top/>
      <bottom style="thin">
        <color rgb="FFF2F2F2"/>
      </bottom>
      <diagonal/>
    </border>
    <border>
      <left style="double">
        <color rgb="FF000000"/>
      </left>
      <right/>
      <top style="thin">
        <color rgb="FFF2F2F2"/>
      </top>
      <bottom style="thin">
        <color rgb="FF000000"/>
      </bottom>
      <diagonal/>
    </border>
    <border>
      <left style="thin">
        <color rgb="FFF2F2F2"/>
      </left>
      <right style="thin">
        <color rgb="FF000000"/>
      </right>
      <top style="thin">
        <color rgb="FFF2F2F2"/>
      </top>
      <bottom style="thin">
        <color rgb="FF000000"/>
      </bottom>
      <diagonal/>
    </border>
    <border>
      <left style="double">
        <color rgb="FF000000"/>
      </left>
      <right style="thin">
        <color rgb="FFF2F2F2"/>
      </right>
      <top style="thin">
        <color rgb="FFF2F2F2"/>
      </top>
      <bottom/>
      <diagonal/>
    </border>
    <border>
      <left style="thin">
        <color rgb="FFF2F2F2"/>
      </left>
      <right/>
      <top style="thin">
        <color rgb="FFF2F2F2"/>
      </top>
      <bottom style="thin">
        <color rgb="FF000000"/>
      </bottom>
      <diagonal/>
    </border>
    <border>
      <left style="thin">
        <color rgb="FFF2F2F2"/>
      </left>
      <right style="thin">
        <color rgb="FF000000"/>
      </right>
      <top style="thin">
        <color rgb="FFF2F2F2"/>
      </top>
      <bottom/>
      <diagonal/>
    </border>
    <border>
      <left/>
      <right style="thin">
        <color rgb="FFF2F2F2"/>
      </right>
      <top style="thin">
        <color rgb="FFF2F2F2"/>
      </top>
      <bottom/>
      <diagonal/>
    </border>
    <border>
      <left style="thin">
        <color rgb="FFF2F2F2"/>
      </left>
      <right/>
      <top style="thin">
        <color rgb="FFF2F2F2"/>
      </top>
      <bottom/>
      <diagonal/>
    </border>
    <border>
      <left/>
      <right/>
      <top style="double">
        <color theme="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000000"/>
      </bottom>
      <diagonal/>
    </border>
    <border>
      <left/>
      <right/>
      <top/>
      <bottom style="thin">
        <color rgb="FFF2F2F2"/>
      </bottom>
      <diagonal/>
    </border>
    <border>
      <left style="thin">
        <color rgb="FFF2F2F2"/>
      </left>
      <right style="thin">
        <color rgb="FF000000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thin">
        <color rgb="FFF2F2F2"/>
      </right>
      <top/>
      <bottom/>
      <diagonal/>
    </border>
    <border>
      <left style="double">
        <color rgb="FF000000"/>
      </left>
      <right/>
      <top style="double">
        <color rgb="FF000000"/>
      </top>
      <bottom style="thin">
        <color rgb="FFF2F2F2"/>
      </bottom>
      <diagonal/>
    </border>
    <border>
      <left style="thin">
        <color rgb="FFF2F2F2"/>
      </left>
      <right/>
      <top style="double">
        <color rgb="FF000000"/>
      </top>
      <bottom style="thin">
        <color rgb="FFF2F2F2"/>
      </bottom>
      <diagonal/>
    </border>
    <border>
      <left style="double">
        <color rgb="FF000000"/>
      </left>
      <right style="thin">
        <color rgb="FFF2F2F2"/>
      </right>
      <top style="double">
        <color rgb="FF000000"/>
      </top>
      <bottom/>
      <diagonal/>
    </border>
    <border>
      <left style="thin">
        <color rgb="FFF2F2F2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F2F2F2"/>
      </left>
      <right style="thin">
        <color rgb="FFF2F2F2"/>
      </right>
      <top style="thin">
        <color rgb="FF000000"/>
      </top>
      <bottom style="thin">
        <color rgb="FFF2F2F2"/>
      </bottom>
      <diagonal/>
    </border>
    <border>
      <left/>
      <right/>
      <top/>
      <bottom style="double">
        <color theme="0"/>
      </bottom>
      <diagonal/>
    </border>
    <border>
      <left/>
      <right style="thin">
        <color theme="0" tint="-0.249977111117893"/>
      </right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rgb="FF000000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double">
        <color rgb="FF000000"/>
      </right>
      <top style="thin">
        <color rgb="FF000000"/>
      </top>
      <bottom style="thin">
        <color rgb="FFF2F2F2"/>
      </bottom>
      <diagonal/>
    </border>
    <border>
      <left style="thin">
        <color rgb="FFF2F2F2"/>
      </left>
      <right style="double">
        <color rgb="FF000000"/>
      </right>
      <top style="thin">
        <color rgb="FFF2F2F2"/>
      </top>
      <bottom style="thin">
        <color rgb="FFF2F2F2"/>
      </bottom>
      <diagonal/>
    </border>
    <border>
      <left style="thin">
        <color rgb="FF000000"/>
      </left>
      <right style="thin">
        <color rgb="FFF2F2F2"/>
      </right>
      <top style="thin">
        <color rgb="FFF2F2F2"/>
      </top>
      <bottom style="double">
        <color rgb="FF000000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double">
        <color rgb="FF000000"/>
      </bottom>
      <diagonal/>
    </border>
    <border>
      <left style="thin">
        <color rgb="FFF2F2F2"/>
      </left>
      <right style="double">
        <color rgb="FF000000"/>
      </right>
      <top style="thin">
        <color rgb="FFF2F2F2"/>
      </top>
      <bottom style="double">
        <color rgb="FF000000"/>
      </bottom>
      <diagonal/>
    </border>
    <border>
      <left style="thin">
        <color rgb="FF000000"/>
      </left>
      <right style="thin">
        <color rgb="FFF2F2F2"/>
      </right>
      <top style="thin">
        <color rgb="FF000000"/>
      </top>
      <bottom style="thin">
        <color rgb="FFF2F2F2"/>
      </bottom>
      <diagonal/>
    </border>
    <border>
      <left style="thin">
        <color rgb="FFF2F2F2"/>
      </left>
      <right style="thin">
        <color rgb="FFF2F2F2"/>
      </right>
      <top/>
      <bottom style="double">
        <color rgb="FF000000"/>
      </bottom>
      <diagonal/>
    </border>
    <border>
      <left style="thin">
        <color rgb="FFF2F2F2"/>
      </left>
      <right style="thin">
        <color rgb="FFF2F2F2"/>
      </right>
      <top style="double">
        <color rgb="FF000000"/>
      </top>
      <bottom style="thin">
        <color rgb="FFF2F2F2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 style="thin">
        <color rgb="FFF2F2F2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F2F2F2"/>
      </left>
      <right style="thin">
        <color rgb="FF000000"/>
      </right>
      <top style="double">
        <color rgb="FF000000"/>
      </top>
      <bottom style="thin">
        <color rgb="FFF2F2F2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thin">
        <color rgb="FFF2F2F2"/>
      </right>
      <top/>
      <bottom/>
      <diagonal/>
    </border>
    <border>
      <left style="thin">
        <color rgb="FFF2F2F2"/>
      </left>
      <right/>
      <top style="double">
        <color rgb="FF000000"/>
      </top>
      <bottom style="thin">
        <color rgb="FF000000"/>
      </bottom>
      <diagonal/>
    </border>
    <border>
      <left/>
      <right/>
      <top style="thin">
        <color rgb="FFF2F2F2"/>
      </top>
      <bottom/>
      <diagonal/>
    </border>
    <border>
      <left style="double">
        <color rgb="FF000000"/>
      </left>
      <right/>
      <top style="thin">
        <color rgb="FFF2F2F2"/>
      </top>
      <bottom/>
      <diagonal/>
    </border>
  </borders>
  <cellStyleXfs count="4">
    <xf numFmtId="0" fontId="0" fillId="0" borderId="0"/>
    <xf numFmtId="0" fontId="1" fillId="0" borderId="0" applyNumberFormat="0" applyAlignment="0" applyProtection="0"/>
    <xf numFmtId="43" fontId="12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0" xfId="0"/>
    <xf numFmtId="0" fontId="0" fillId="0" borderId="0" xfId="0" applyBorder="1"/>
    <xf numFmtId="0" fontId="2" fillId="0" borderId="0" xfId="0" applyFont="1"/>
    <xf numFmtId="0" fontId="0" fillId="0" borderId="4" xfId="0" applyBorder="1"/>
    <xf numFmtId="0" fontId="1" fillId="0" borderId="0" xfId="0" applyFont="1"/>
    <xf numFmtId="0" fontId="0" fillId="2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Font="1"/>
    <xf numFmtId="0" fontId="2" fillId="0" borderId="0" xfId="0" applyFont="1" applyFill="1" applyBorder="1"/>
    <xf numFmtId="9" fontId="0" fillId="0" borderId="0" xfId="0" applyNumberFormat="1"/>
    <xf numFmtId="0" fontId="1" fillId="7" borderId="10" xfId="0" applyFont="1" applyFill="1" applyBorder="1"/>
    <xf numFmtId="0" fontId="2" fillId="0" borderId="0" xfId="0" applyFont="1" applyBorder="1"/>
    <xf numFmtId="0" fontId="0" fillId="7" borderId="0" xfId="0" applyFill="1"/>
    <xf numFmtId="0" fontId="0" fillId="0" borderId="0" xfId="0" applyBorder="1" applyAlignment="1"/>
    <xf numFmtId="164" fontId="5" fillId="9" borderId="11" xfId="0" applyNumberFormat="1" applyFont="1" applyFill="1" applyBorder="1" applyAlignment="1">
      <alignment horizontal="center"/>
    </xf>
    <xf numFmtId="164" fontId="6" fillId="9" borderId="11" xfId="0" applyNumberFormat="1" applyFont="1" applyFill="1" applyBorder="1" applyAlignment="1">
      <alignment horizontal="center"/>
    </xf>
    <xf numFmtId="164" fontId="6" fillId="9" borderId="12" xfId="0" applyNumberFormat="1" applyFont="1" applyFill="1" applyBorder="1" applyAlignment="1">
      <alignment horizontal="center"/>
    </xf>
    <xf numFmtId="164" fontId="6" fillId="9" borderId="13" xfId="0" applyNumberFormat="1" applyFont="1" applyFill="1" applyBorder="1" applyAlignment="1">
      <alignment horizontal="center"/>
    </xf>
    <xf numFmtId="164" fontId="5" fillId="9" borderId="15" xfId="0" applyNumberFormat="1" applyFont="1" applyFill="1" applyBorder="1" applyAlignment="1">
      <alignment horizontal="center"/>
    </xf>
    <xf numFmtId="164" fontId="6" fillId="8" borderId="20" xfId="0" applyNumberFormat="1" applyFont="1" applyFill="1" applyBorder="1" applyAlignment="1">
      <alignment horizontal="center"/>
    </xf>
    <xf numFmtId="164" fontId="6" fillId="8" borderId="23" xfId="0" applyNumberFormat="1" applyFont="1" applyFill="1" applyBorder="1" applyAlignment="1">
      <alignment horizontal="center"/>
    </xf>
    <xf numFmtId="0" fontId="0" fillId="0" borderId="26" xfId="0" applyBorder="1"/>
    <xf numFmtId="164" fontId="5" fillId="9" borderId="12" xfId="0" applyNumberFormat="1" applyFont="1" applyFill="1" applyBorder="1" applyAlignment="1">
      <alignment horizontal="center"/>
    </xf>
    <xf numFmtId="164" fontId="5" fillId="8" borderId="11" xfId="0" applyNumberFormat="1" applyFont="1" applyFill="1" applyBorder="1" applyAlignment="1">
      <alignment horizontal="center"/>
    </xf>
    <xf numFmtId="164" fontId="6" fillId="8" borderId="13" xfId="0" applyNumberFormat="1" applyFont="1" applyFill="1" applyBorder="1" applyAlignment="1">
      <alignment horizontal="center"/>
    </xf>
    <xf numFmtId="164" fontId="6" fillId="8" borderId="18" xfId="0" applyNumberFormat="1" applyFont="1" applyFill="1" applyBorder="1" applyAlignment="1">
      <alignment horizontal="center"/>
    </xf>
    <xf numFmtId="164" fontId="6" fillId="8" borderId="14" xfId="0" applyNumberFormat="1" applyFont="1" applyFill="1" applyBorder="1" applyAlignment="1">
      <alignment horizontal="center"/>
    </xf>
    <xf numFmtId="164" fontId="6" fillId="8" borderId="22" xfId="0" applyNumberFormat="1" applyFont="1" applyFill="1" applyBorder="1" applyAlignment="1">
      <alignment horizontal="center"/>
    </xf>
    <xf numFmtId="164" fontId="6" fillId="8" borderId="25" xfId="0" applyNumberFormat="1" applyFont="1" applyFill="1" applyBorder="1" applyAlignment="1">
      <alignment horizontal="center"/>
    </xf>
    <xf numFmtId="164" fontId="6" fillId="8" borderId="31" xfId="0" applyNumberFormat="1" applyFont="1" applyFill="1" applyBorder="1" applyAlignment="1">
      <alignment horizontal="center"/>
    </xf>
    <xf numFmtId="164" fontId="6" fillId="8" borderId="15" xfId="0" applyNumberFormat="1" applyFont="1" applyFill="1" applyBorder="1" applyAlignment="1">
      <alignment horizontal="center"/>
    </xf>
    <xf numFmtId="164" fontId="5" fillId="8" borderId="34" xfId="0" applyNumberFormat="1" applyFont="1" applyFill="1" applyBorder="1" applyAlignment="1">
      <alignment horizontal="center"/>
    </xf>
    <xf numFmtId="164" fontId="6" fillId="8" borderId="29" xfId="0" applyNumberFormat="1" applyFont="1" applyFill="1" applyBorder="1" applyAlignment="1">
      <alignment horizontal="center"/>
    </xf>
    <xf numFmtId="164" fontId="6" fillId="8" borderId="12" xfId="0" applyNumberFormat="1" applyFont="1" applyFill="1" applyBorder="1" applyAlignment="1">
      <alignment horizontal="center"/>
    </xf>
    <xf numFmtId="164" fontId="6" fillId="8" borderId="16" xfId="0" applyNumberFormat="1" applyFont="1" applyFill="1" applyBorder="1" applyAlignment="1">
      <alignment horizontal="center"/>
    </xf>
    <xf numFmtId="164" fontId="6" fillId="8" borderId="24" xfId="0" applyNumberFormat="1" applyFont="1" applyFill="1" applyBorder="1" applyAlignment="1">
      <alignment horizontal="center"/>
    </xf>
    <xf numFmtId="164" fontId="6" fillId="8" borderId="34" xfId="0" applyNumberFormat="1" applyFont="1" applyFill="1" applyBorder="1" applyAlignment="1">
      <alignment horizontal="center"/>
    </xf>
    <xf numFmtId="164" fontId="6" fillId="8" borderId="21" xfId="0" applyNumberFormat="1" applyFont="1" applyFill="1" applyBorder="1" applyAlignment="1">
      <alignment horizontal="center"/>
    </xf>
    <xf numFmtId="164" fontId="5" fillId="8" borderId="22" xfId="0" applyNumberFormat="1" applyFont="1" applyFill="1" applyBorder="1" applyAlignment="1">
      <alignment horizontal="center"/>
    </xf>
    <xf numFmtId="164" fontId="6" fillId="9" borderId="14" xfId="0" applyNumberFormat="1" applyFont="1" applyFill="1" applyBorder="1" applyAlignment="1">
      <alignment horizontal="center"/>
    </xf>
    <xf numFmtId="164" fontId="6" fillId="9" borderId="15" xfId="0" applyNumberFormat="1" applyFont="1" applyFill="1" applyBorder="1" applyAlignment="1">
      <alignment horizontal="center"/>
    </xf>
    <xf numFmtId="164" fontId="6" fillId="8" borderId="19" xfId="0" applyNumberFormat="1" applyFont="1" applyFill="1" applyBorder="1" applyAlignment="1">
      <alignment horizontal="center"/>
    </xf>
    <xf numFmtId="164" fontId="5" fillId="8" borderId="23" xfId="0" applyNumberFormat="1" applyFont="1" applyFill="1" applyBorder="1" applyAlignment="1">
      <alignment horizontal="center"/>
    </xf>
    <xf numFmtId="164" fontId="5" fillId="9" borderId="16" xfId="0" applyNumberFormat="1" applyFont="1" applyFill="1" applyBorder="1" applyAlignment="1">
      <alignment horizontal="center"/>
    </xf>
    <xf numFmtId="164" fontId="6" fillId="8" borderId="30" xfId="0" applyNumberFormat="1" applyFont="1" applyFill="1" applyBorder="1" applyAlignment="1">
      <alignment horizontal="center"/>
    </xf>
    <xf numFmtId="164" fontId="5" fillId="8" borderId="17" xfId="0" applyNumberFormat="1" applyFont="1" applyFill="1" applyBorder="1" applyAlignment="1">
      <alignment horizontal="center"/>
    </xf>
    <xf numFmtId="0" fontId="0" fillId="0" borderId="0" xfId="0" applyAlignment="1"/>
    <xf numFmtId="164" fontId="6" fillId="9" borderId="25" xfId="0" applyNumberFormat="1" applyFont="1" applyFill="1" applyBorder="1" applyAlignment="1">
      <alignment horizontal="center"/>
    </xf>
    <xf numFmtId="164" fontId="6" fillId="8" borderId="33" xfId="0" applyNumberFormat="1" applyFont="1" applyFill="1" applyBorder="1" applyAlignment="1">
      <alignment horizontal="center"/>
    </xf>
    <xf numFmtId="164" fontId="6" fillId="8" borderId="17" xfId="0" applyNumberFormat="1" applyFont="1" applyFill="1" applyBorder="1" applyAlignment="1">
      <alignment horizontal="center"/>
    </xf>
    <xf numFmtId="164" fontId="6" fillId="8" borderId="35" xfId="0" applyNumberFormat="1" applyFont="1" applyFill="1" applyBorder="1" applyAlignment="1">
      <alignment horizontal="center"/>
    </xf>
    <xf numFmtId="164" fontId="5" fillId="8" borderId="19" xfId="0" applyNumberFormat="1" applyFont="1" applyFill="1" applyBorder="1" applyAlignment="1">
      <alignment horizontal="center"/>
    </xf>
    <xf numFmtId="164" fontId="5" fillId="8" borderId="36" xfId="0" applyNumberFormat="1" applyFont="1" applyFill="1" applyBorder="1" applyAlignment="1">
      <alignment horizontal="center"/>
    </xf>
    <xf numFmtId="164" fontId="5" fillId="8" borderId="32" xfId="0" applyNumberFormat="1" applyFont="1" applyFill="1" applyBorder="1" applyAlignment="1">
      <alignment horizontal="center"/>
    </xf>
    <xf numFmtId="164" fontId="6" fillId="2" borderId="11" xfId="0" applyNumberFormat="1" applyFont="1" applyFill="1" applyBorder="1" applyAlignment="1">
      <alignment horizontal="center"/>
    </xf>
    <xf numFmtId="164" fontId="5" fillId="6" borderId="24" xfId="0" applyNumberFormat="1" applyFont="1" applyFill="1" applyBorder="1" applyAlignment="1">
      <alignment horizontal="center"/>
    </xf>
    <xf numFmtId="164" fontId="6" fillId="3" borderId="1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 applyFill="1" applyBorder="1" applyAlignment="1"/>
    <xf numFmtId="0" fontId="9" fillId="10" borderId="0" xfId="0" applyFont="1" applyFill="1"/>
    <xf numFmtId="0" fontId="10" fillId="4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0" fillId="0" borderId="0" xfId="0" applyFill="1" applyBorder="1" applyAlignment="1"/>
    <xf numFmtId="0" fontId="0" fillId="13" borderId="0" xfId="0" applyFill="1" applyBorder="1"/>
    <xf numFmtId="0" fontId="4" fillId="7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center"/>
    </xf>
    <xf numFmtId="0" fontId="0" fillId="13" borderId="0" xfId="0" applyFill="1" applyBorder="1" applyAlignment="1"/>
    <xf numFmtId="0" fontId="0" fillId="13" borderId="0" xfId="0" applyFill="1"/>
    <xf numFmtId="0" fontId="11" fillId="5" borderId="0" xfId="0" applyFont="1" applyFill="1" applyBorder="1" applyAlignment="1">
      <alignment horizontal="center"/>
    </xf>
    <xf numFmtId="0" fontId="3" fillId="13" borderId="0" xfId="0" applyFont="1" applyFill="1" applyAlignment="1"/>
    <xf numFmtId="0" fontId="3" fillId="13" borderId="0" xfId="0" applyFont="1" applyFill="1" applyAlignment="1">
      <alignment horizontal="center"/>
    </xf>
    <xf numFmtId="0" fontId="2" fillId="13" borderId="0" xfId="0" applyFont="1" applyFill="1" applyBorder="1" applyAlignment="1">
      <alignment vertical="center"/>
    </xf>
    <xf numFmtId="0" fontId="2" fillId="13" borderId="37" xfId="0" applyFont="1" applyFill="1" applyBorder="1"/>
    <xf numFmtId="0" fontId="2" fillId="13" borderId="38" xfId="0" applyFont="1" applyFill="1" applyBorder="1" applyAlignment="1"/>
    <xf numFmtId="0" fontId="2" fillId="13" borderId="39" xfId="0" applyFont="1" applyFill="1" applyBorder="1" applyAlignment="1"/>
    <xf numFmtId="0" fontId="0" fillId="13" borderId="4" xfId="0" applyFill="1" applyBorder="1"/>
    <xf numFmtId="0" fontId="0" fillId="13" borderId="40" xfId="0" applyFill="1" applyBorder="1"/>
    <xf numFmtId="0" fontId="0" fillId="0" borderId="0" xfId="0" applyBorder="1" applyAlignment="1">
      <alignment horizontal="center"/>
    </xf>
    <xf numFmtId="0" fontId="0" fillId="13" borderId="40" xfId="0" applyFill="1" applyBorder="1" applyAlignment="1"/>
    <xf numFmtId="0" fontId="0" fillId="0" borderId="41" xfId="0" applyBorder="1"/>
    <xf numFmtId="0" fontId="0" fillId="0" borderId="42" xfId="0" applyBorder="1"/>
    <xf numFmtId="0" fontId="0" fillId="13" borderId="42" xfId="0" applyFill="1" applyBorder="1"/>
    <xf numFmtId="0" fontId="0" fillId="13" borderId="43" xfId="0" applyFill="1" applyBorder="1"/>
    <xf numFmtId="0" fontId="0" fillId="13" borderId="37" xfId="0" applyFill="1" applyBorder="1"/>
    <xf numFmtId="0" fontId="0" fillId="13" borderId="38" xfId="0" applyFill="1" applyBorder="1"/>
    <xf numFmtId="0" fontId="0" fillId="0" borderId="38" xfId="0" applyBorder="1"/>
    <xf numFmtId="0" fontId="0" fillId="13" borderId="39" xfId="0" applyFill="1" applyBorder="1"/>
    <xf numFmtId="0" fontId="0" fillId="0" borderId="0" xfId="0" applyFill="1"/>
    <xf numFmtId="0" fontId="4" fillId="14" borderId="0" xfId="0" applyFont="1" applyFill="1" applyBorder="1" applyAlignment="1">
      <alignment horizontal="center"/>
    </xf>
    <xf numFmtId="0" fontId="0" fillId="14" borderId="0" xfId="0" applyFill="1"/>
    <xf numFmtId="0" fontId="0" fillId="0" borderId="46" xfId="0" applyFill="1" applyBorder="1"/>
    <xf numFmtId="0" fontId="0" fillId="0" borderId="47" xfId="0" applyFill="1" applyBorder="1"/>
    <xf numFmtId="0" fontId="0" fillId="0" borderId="48" xfId="0" applyFill="1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28" xfId="0" applyBorder="1"/>
    <xf numFmtId="0" fontId="0" fillId="0" borderId="60" xfId="0" applyBorder="1"/>
    <xf numFmtId="0" fontId="0" fillId="0" borderId="64" xfId="0" applyBorder="1"/>
    <xf numFmtId="0" fontId="0" fillId="0" borderId="27" xfId="0" applyBorder="1"/>
    <xf numFmtId="0" fontId="0" fillId="0" borderId="65" xfId="0" applyBorder="1"/>
    <xf numFmtId="0" fontId="3" fillId="0" borderId="0" xfId="0" applyFont="1"/>
    <xf numFmtId="0" fontId="18" fillId="0" borderId="0" xfId="3" applyAlignment="1"/>
    <xf numFmtId="0" fontId="18" fillId="0" borderId="0" xfId="3"/>
    <xf numFmtId="0" fontId="11" fillId="10" borderId="0" xfId="0" applyFont="1" applyFill="1" applyAlignment="1">
      <alignment horizontal="center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10" xfId="0" applyBorder="1" applyProtection="1">
      <protection locked="0"/>
    </xf>
    <xf numFmtId="0" fontId="0" fillId="13" borderId="0" xfId="0" applyFont="1" applyFill="1" applyBorder="1" applyAlignment="1"/>
    <xf numFmtId="0" fontId="0" fillId="0" borderId="3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12" borderId="0" xfId="0" applyFill="1" applyBorder="1" applyProtection="1">
      <protection hidden="1"/>
    </xf>
    <xf numFmtId="0" fontId="2" fillId="12" borderId="0" xfId="0" applyFont="1" applyFill="1" applyBorder="1" applyProtection="1">
      <protection hidden="1"/>
    </xf>
    <xf numFmtId="0" fontId="3" fillId="15" borderId="50" xfId="0" applyFont="1" applyFill="1" applyBorder="1" applyAlignment="1" applyProtection="1">
      <alignment horizontal="right" vertical="center"/>
      <protection hidden="1"/>
    </xf>
    <xf numFmtId="0" fontId="0" fillId="15" borderId="52" xfId="0" applyFill="1" applyBorder="1" applyProtection="1">
      <protection hidden="1"/>
    </xf>
    <xf numFmtId="0" fontId="0" fillId="15" borderId="53" xfId="0" applyFill="1" applyBorder="1" applyProtection="1">
      <protection hidden="1"/>
    </xf>
    <xf numFmtId="0" fontId="3" fillId="15" borderId="58" xfId="0" applyFont="1" applyFill="1" applyBorder="1" applyAlignment="1" applyProtection="1">
      <alignment horizontal="left" vertical="center"/>
      <protection hidden="1"/>
    </xf>
    <xf numFmtId="0" fontId="14" fillId="15" borderId="58" xfId="0" applyFont="1" applyFill="1" applyBorder="1" applyAlignment="1" applyProtection="1">
      <alignment horizontal="center" vertical="center"/>
      <protection hidden="1"/>
    </xf>
    <xf numFmtId="0" fontId="14" fillId="15" borderId="53" xfId="0" applyFont="1" applyFill="1" applyBorder="1" applyAlignment="1" applyProtection="1">
      <alignment horizontal="center" vertical="center"/>
      <protection hidden="1"/>
    </xf>
    <xf numFmtId="0" fontId="2" fillId="15" borderId="54" xfId="0" applyFont="1" applyFill="1" applyBorder="1" applyAlignment="1" applyProtection="1">
      <alignment horizontal="left" vertical="top"/>
      <protection hidden="1"/>
    </xf>
    <xf numFmtId="0" fontId="2" fillId="15" borderId="0" xfId="0" applyFont="1" applyFill="1" applyProtection="1">
      <protection hidden="1"/>
    </xf>
    <xf numFmtId="0" fontId="0" fillId="15" borderId="0" xfId="0" applyFill="1" applyProtection="1">
      <protection hidden="1"/>
    </xf>
    <xf numFmtId="0" fontId="0" fillId="15" borderId="55" xfId="0" applyFill="1" applyBorder="1" applyProtection="1">
      <protection hidden="1"/>
    </xf>
    <xf numFmtId="0" fontId="0" fillId="15" borderId="54" xfId="0" applyFill="1" applyBorder="1" applyProtection="1">
      <protection hidden="1"/>
    </xf>
    <xf numFmtId="0" fontId="0" fillId="15" borderId="0" xfId="0" applyFill="1" applyBorder="1" applyProtection="1">
      <protection hidden="1"/>
    </xf>
    <xf numFmtId="0" fontId="0" fillId="15" borderId="54" xfId="0" applyFont="1" applyFill="1" applyBorder="1" applyAlignment="1" applyProtection="1">
      <alignment horizontal="left" vertical="top" wrapText="1"/>
      <protection hidden="1"/>
    </xf>
    <xf numFmtId="0" fontId="0" fillId="15" borderId="0" xfId="0" applyFont="1" applyFill="1" applyBorder="1" applyProtection="1">
      <protection hidden="1"/>
    </xf>
    <xf numFmtId="0" fontId="0" fillId="15" borderId="56" xfId="0" applyFont="1" applyFill="1" applyBorder="1" applyAlignment="1" applyProtection="1">
      <alignment horizontal="left" vertical="top" wrapText="1"/>
      <protection hidden="1"/>
    </xf>
    <xf numFmtId="0" fontId="0" fillId="15" borderId="59" xfId="0" applyFill="1" applyBorder="1" applyProtection="1">
      <protection hidden="1"/>
    </xf>
    <xf numFmtId="20" fontId="0" fillId="15" borderId="57" xfId="0" applyNumberFormat="1" applyFill="1" applyBorder="1" applyProtection="1">
      <protection hidden="1"/>
    </xf>
    <xf numFmtId="0" fontId="0" fillId="0" borderId="8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9" xfId="0" applyFill="1" applyBorder="1" applyAlignment="1" applyProtection="1">
      <alignment horizontal="right"/>
      <protection hidden="1"/>
    </xf>
    <xf numFmtId="0" fontId="12" fillId="15" borderId="0" xfId="2" applyNumberFormat="1" applyFont="1" applyFill="1" applyBorder="1" applyAlignment="1" applyProtection="1">
      <alignment horizontal="right"/>
      <protection hidden="1"/>
    </xf>
    <xf numFmtId="0" fontId="2" fillId="15" borderId="0" xfId="0" applyFont="1" applyFill="1" applyAlignment="1" applyProtection="1">
      <alignment horizontal="right"/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0" xfId="0" applyFill="1" applyBorder="1" applyAlignment="1" applyProtection="1">
      <alignment horizontal="right"/>
      <protection hidden="1"/>
    </xf>
    <xf numFmtId="0" fontId="0" fillId="13" borderId="37" xfId="0" applyFill="1" applyBorder="1" applyProtection="1">
      <protection locked="0"/>
    </xf>
    <xf numFmtId="0" fontId="0" fillId="13" borderId="38" xfId="0" applyFill="1" applyBorder="1" applyProtection="1">
      <protection locked="0"/>
    </xf>
    <xf numFmtId="0" fontId="2" fillId="13" borderId="38" xfId="0" applyFont="1" applyFill="1" applyBorder="1" applyAlignment="1" applyProtection="1">
      <alignment horizontal="center"/>
      <protection locked="0"/>
    </xf>
    <xf numFmtId="0" fontId="2" fillId="13" borderId="39" xfId="0" applyFont="1" applyFill="1" applyBorder="1" applyAlignment="1" applyProtection="1">
      <alignment horizontal="left"/>
      <protection locked="0"/>
    </xf>
    <xf numFmtId="0" fontId="0" fillId="13" borderId="4" xfId="0" applyFill="1" applyBorder="1" applyProtection="1">
      <protection locked="0"/>
    </xf>
    <xf numFmtId="0" fontId="2" fillId="13" borderId="0" xfId="0" applyFont="1" applyFill="1" applyBorder="1" applyProtection="1">
      <protection locked="0"/>
    </xf>
    <xf numFmtId="0" fontId="0" fillId="13" borderId="40" xfId="0" applyFill="1" applyBorder="1" applyProtection="1">
      <protection locked="0"/>
    </xf>
    <xf numFmtId="165" fontId="2" fillId="13" borderId="0" xfId="2" applyNumberFormat="1" applyFont="1" applyFill="1" applyBorder="1" applyAlignment="1" applyProtection="1">
      <protection locked="0"/>
    </xf>
    <xf numFmtId="0" fontId="7" fillId="13" borderId="0" xfId="0" applyFont="1" applyFill="1" applyBorder="1" applyProtection="1">
      <protection locked="0"/>
    </xf>
    <xf numFmtId="0" fontId="7" fillId="13" borderId="40" xfId="0" applyFont="1" applyFill="1" applyBorder="1" applyAlignment="1" applyProtection="1">
      <alignment vertical="top"/>
      <protection locked="0"/>
    </xf>
    <xf numFmtId="0" fontId="0" fillId="13" borderId="0" xfId="0" applyFill="1" applyBorder="1" applyProtection="1">
      <protection locked="0"/>
    </xf>
    <xf numFmtId="0" fontId="7" fillId="13" borderId="0" xfId="0" applyFont="1" applyFill="1" applyBorder="1" applyAlignment="1" applyProtection="1">
      <protection locked="0"/>
    </xf>
    <xf numFmtId="0" fontId="0" fillId="13" borderId="44" xfId="0" applyFill="1" applyBorder="1" applyAlignment="1" applyProtection="1">
      <protection locked="0"/>
    </xf>
    <xf numFmtId="0" fontId="2" fillId="13" borderId="4" xfId="0" applyFont="1" applyFill="1" applyBorder="1" applyProtection="1">
      <protection locked="0"/>
    </xf>
    <xf numFmtId="1" fontId="12" fillId="13" borderId="0" xfId="2" applyNumberFormat="1" applyFont="1" applyFill="1" applyBorder="1" applyAlignment="1" applyProtection="1">
      <protection locked="0"/>
    </xf>
    <xf numFmtId="0" fontId="0" fillId="13" borderId="41" xfId="0" applyFill="1" applyBorder="1" applyProtection="1">
      <protection locked="0"/>
    </xf>
    <xf numFmtId="0" fontId="0" fillId="13" borderId="42" xfId="0" applyFill="1" applyBorder="1" applyProtection="1">
      <protection locked="0"/>
    </xf>
    <xf numFmtId="0" fontId="0" fillId="13" borderId="43" xfId="0" applyFill="1" applyBorder="1" applyProtection="1">
      <protection locked="0"/>
    </xf>
    <xf numFmtId="164" fontId="16" fillId="9" borderId="45" xfId="0" applyNumberFormat="1" applyFont="1" applyFill="1" applyBorder="1" applyAlignment="1" applyProtection="1">
      <alignment horizontal="center"/>
      <protection locked="0"/>
    </xf>
    <xf numFmtId="0" fontId="20" fillId="0" borderId="0" xfId="0" applyFont="1"/>
    <xf numFmtId="0" fontId="20" fillId="0" borderId="3" xfId="0" applyFont="1" applyFill="1" applyBorder="1" applyProtection="1">
      <protection hidden="1"/>
    </xf>
    <xf numFmtId="0" fontId="20" fillId="12" borderId="0" xfId="0" applyFont="1" applyFill="1" applyBorder="1" applyProtection="1">
      <protection hidden="1"/>
    </xf>
    <xf numFmtId="0" fontId="21" fillId="15" borderId="58" xfId="0" applyFont="1" applyFill="1" applyBorder="1" applyAlignment="1" applyProtection="1">
      <alignment horizontal="left" vertical="center"/>
      <protection hidden="1"/>
    </xf>
    <xf numFmtId="0" fontId="21" fillId="15" borderId="58" xfId="0" applyFont="1" applyFill="1" applyBorder="1" applyAlignment="1" applyProtection="1">
      <alignment horizontal="right" vertical="center"/>
      <protection hidden="1"/>
    </xf>
    <xf numFmtId="0" fontId="22" fillId="15" borderId="58" xfId="0" applyFont="1" applyFill="1" applyBorder="1" applyAlignment="1" applyProtection="1">
      <alignment horizontal="center" vertical="center"/>
      <protection hidden="1"/>
    </xf>
    <xf numFmtId="0" fontId="22" fillId="15" borderId="53" xfId="0" applyFont="1" applyFill="1" applyBorder="1" applyAlignment="1" applyProtection="1">
      <alignment horizontal="center" vertical="center"/>
      <protection hidden="1"/>
    </xf>
    <xf numFmtId="0" fontId="20" fillId="0" borderId="5" xfId="0" applyFont="1" applyFill="1" applyBorder="1" applyProtection="1">
      <protection hidden="1"/>
    </xf>
    <xf numFmtId="0" fontId="20" fillId="15" borderId="52" xfId="0" applyFont="1" applyFill="1" applyBorder="1" applyAlignment="1" applyProtection="1">
      <alignment horizontal="left" vertical="center"/>
      <protection hidden="1"/>
    </xf>
    <xf numFmtId="0" fontId="0" fillId="0" borderId="0" xfId="0" applyFont="1" applyBorder="1"/>
    <xf numFmtId="164" fontId="16" fillId="9" borderId="13" xfId="0" applyNumberFormat="1" applyFont="1" applyFill="1" applyBorder="1" applyAlignment="1" applyProtection="1">
      <alignment horizontal="center"/>
      <protection locked="0"/>
    </xf>
    <xf numFmtId="164" fontId="16" fillId="9" borderId="12" xfId="0" applyNumberFormat="1" applyFont="1" applyFill="1" applyBorder="1" applyAlignment="1" applyProtection="1">
      <alignment horizontal="center"/>
      <protection locked="0"/>
    </xf>
    <xf numFmtId="164" fontId="16" fillId="9" borderId="14" xfId="0" applyNumberFormat="1" applyFont="1" applyFill="1" applyBorder="1" applyAlignment="1" applyProtection="1">
      <alignment horizontal="center"/>
      <protection locked="0"/>
    </xf>
    <xf numFmtId="164" fontId="16" fillId="9" borderId="11" xfId="0" applyNumberFormat="1" applyFont="1" applyFill="1" applyBorder="1" applyAlignment="1" applyProtection="1">
      <alignment horizontal="center"/>
      <protection locked="0"/>
    </xf>
    <xf numFmtId="164" fontId="17" fillId="9" borderId="11" xfId="0" applyNumberFormat="1" applyFont="1" applyFill="1" applyBorder="1" applyAlignment="1" applyProtection="1">
      <alignment horizontal="center"/>
      <protection locked="0"/>
    </xf>
    <xf numFmtId="164" fontId="16" fillId="9" borderId="66" xfId="0" applyNumberFormat="1" applyFont="1" applyFill="1" applyBorder="1" applyAlignment="1" applyProtection="1">
      <alignment horizontal="center"/>
      <protection locked="0"/>
    </xf>
    <xf numFmtId="164" fontId="17" fillId="9" borderId="66" xfId="0" applyNumberFormat="1" applyFont="1" applyFill="1" applyBorder="1" applyAlignment="1" applyProtection="1">
      <alignment horizontal="center"/>
      <protection locked="0"/>
    </xf>
    <xf numFmtId="164" fontId="17" fillId="9" borderId="45" xfId="0" applyNumberFormat="1" applyFont="1" applyFill="1" applyBorder="1" applyAlignment="1" applyProtection="1">
      <alignment horizontal="center"/>
      <protection locked="0"/>
    </xf>
    <xf numFmtId="164" fontId="16" fillId="9" borderId="67" xfId="0" applyNumberFormat="1" applyFont="1" applyFill="1" applyBorder="1" applyAlignment="1" applyProtection="1">
      <alignment horizontal="center"/>
      <protection locked="0"/>
    </xf>
    <xf numFmtId="164" fontId="16" fillId="9" borderId="68" xfId="0" applyNumberFormat="1" applyFont="1" applyFill="1" applyBorder="1" applyAlignment="1" applyProtection="1">
      <alignment horizontal="center"/>
      <protection locked="0"/>
    </xf>
    <xf numFmtId="164" fontId="17" fillId="9" borderId="68" xfId="0" applyNumberFormat="1" applyFont="1" applyFill="1" applyBorder="1" applyAlignment="1" applyProtection="1">
      <alignment horizontal="center"/>
      <protection locked="0"/>
    </xf>
    <xf numFmtId="164" fontId="16" fillId="9" borderId="69" xfId="0" applyNumberFormat="1" applyFont="1" applyFill="1" applyBorder="1" applyAlignment="1" applyProtection="1">
      <alignment horizontal="center"/>
      <protection locked="0"/>
    </xf>
    <xf numFmtId="164" fontId="16" fillId="9" borderId="70" xfId="0" applyNumberFormat="1" applyFont="1" applyFill="1" applyBorder="1" applyAlignment="1" applyProtection="1">
      <alignment horizontal="center"/>
      <protection locked="0"/>
    </xf>
    <xf numFmtId="164" fontId="17" fillId="9" borderId="70" xfId="0" applyNumberFormat="1" applyFont="1" applyFill="1" applyBorder="1" applyAlignment="1" applyProtection="1">
      <alignment horizontal="center"/>
      <protection locked="0"/>
    </xf>
    <xf numFmtId="164" fontId="16" fillId="9" borderId="7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wrapText="1"/>
      <protection locked="0"/>
    </xf>
    <xf numFmtId="164" fontId="16" fillId="9" borderId="15" xfId="0" applyNumberFormat="1" applyFont="1" applyFill="1" applyBorder="1" applyAlignment="1" applyProtection="1">
      <alignment horizontal="center"/>
      <protection locked="0"/>
    </xf>
    <xf numFmtId="164" fontId="16" fillId="9" borderId="72" xfId="0" applyNumberFormat="1" applyFont="1" applyFill="1" applyBorder="1" applyAlignment="1" applyProtection="1">
      <alignment horizontal="center"/>
      <protection locked="0"/>
    </xf>
    <xf numFmtId="164" fontId="6" fillId="8" borderId="11" xfId="0" applyNumberFormat="1" applyFont="1" applyFill="1" applyBorder="1" applyAlignment="1" applyProtection="1">
      <alignment horizontal="center"/>
      <protection locked="0"/>
    </xf>
    <xf numFmtId="164" fontId="16" fillId="9" borderId="73" xfId="0" applyNumberFormat="1" applyFont="1" applyFill="1" applyBorder="1" applyAlignment="1" applyProtection="1">
      <alignment horizontal="center"/>
      <protection locked="0"/>
    </xf>
    <xf numFmtId="164" fontId="6" fillId="8" borderId="74" xfId="0" applyNumberFormat="1" applyFont="1" applyFill="1" applyBorder="1" applyAlignment="1" applyProtection="1">
      <alignment horizontal="center"/>
      <protection locked="0"/>
    </xf>
    <xf numFmtId="164" fontId="6" fillId="8" borderId="75" xfId="0" applyNumberFormat="1" applyFont="1" applyFill="1" applyBorder="1" applyAlignment="1" applyProtection="1">
      <alignment horizontal="center"/>
      <protection locked="0"/>
    </xf>
    <xf numFmtId="164" fontId="6" fillId="8" borderId="76" xfId="0" applyNumberFormat="1" applyFont="1" applyFill="1" applyBorder="1" applyAlignment="1" applyProtection="1">
      <alignment horizontal="center"/>
      <protection locked="0"/>
    </xf>
    <xf numFmtId="164" fontId="6" fillId="8" borderId="15" xfId="0" applyNumberFormat="1" applyFont="1" applyFill="1" applyBorder="1" applyAlignment="1" applyProtection="1">
      <alignment horizontal="center"/>
      <protection locked="0"/>
    </xf>
    <xf numFmtId="164" fontId="6" fillId="8" borderId="12" xfId="0" applyNumberFormat="1" applyFont="1" applyFill="1" applyBorder="1" applyAlignment="1" applyProtection="1">
      <alignment horizontal="center"/>
      <protection locked="0"/>
    </xf>
    <xf numFmtId="164" fontId="6" fillId="8" borderId="33" xfId="0" applyNumberFormat="1" applyFont="1" applyFill="1" applyBorder="1" applyAlignment="1" applyProtection="1">
      <alignment horizontal="center"/>
      <protection locked="0"/>
    </xf>
    <xf numFmtId="164" fontId="6" fillId="8" borderId="34" xfId="0" applyNumberFormat="1" applyFont="1" applyFill="1" applyBorder="1" applyAlignment="1" applyProtection="1">
      <alignment horizontal="center"/>
      <protection locked="0"/>
    </xf>
    <xf numFmtId="164" fontId="6" fillId="8" borderId="77" xfId="0" applyNumberFormat="1" applyFont="1" applyFill="1" applyBorder="1" applyAlignment="1" applyProtection="1">
      <alignment horizontal="center"/>
      <protection locked="0"/>
    </xf>
    <xf numFmtId="164" fontId="6" fillId="8" borderId="18" xfId="0" applyNumberFormat="1" applyFont="1" applyFill="1" applyBorder="1" applyAlignment="1" applyProtection="1">
      <alignment horizontal="center"/>
      <protection locked="0"/>
    </xf>
    <xf numFmtId="164" fontId="6" fillId="8" borderId="78" xfId="0" applyNumberFormat="1" applyFont="1" applyFill="1" applyBorder="1" applyAlignment="1" applyProtection="1">
      <alignment horizontal="center"/>
      <protection locked="0"/>
    </xf>
    <xf numFmtId="164" fontId="16" fillId="9" borderId="24" xfId="0" applyNumberFormat="1" applyFont="1" applyFill="1" applyBorder="1" applyAlignment="1" applyProtection="1">
      <alignment horizontal="center"/>
      <protection locked="0"/>
    </xf>
    <xf numFmtId="164" fontId="6" fillId="8" borderId="16" xfId="0" applyNumberFormat="1" applyFont="1" applyFill="1" applyBorder="1" applyAlignment="1" applyProtection="1">
      <alignment horizontal="center"/>
      <protection locked="0"/>
    </xf>
    <xf numFmtId="164" fontId="6" fillId="8" borderId="21" xfId="0" applyNumberFormat="1" applyFont="1" applyFill="1" applyBorder="1" applyAlignment="1" applyProtection="1">
      <alignment horizontal="center"/>
      <protection locked="0"/>
    </xf>
    <xf numFmtId="164" fontId="6" fillId="8" borderId="29" xfId="0" applyNumberFormat="1" applyFont="1" applyFill="1" applyBorder="1" applyAlignment="1" applyProtection="1">
      <alignment horizontal="center"/>
      <protection locked="0"/>
    </xf>
    <xf numFmtId="164" fontId="6" fillId="8" borderId="19" xfId="0" applyNumberFormat="1" applyFont="1" applyFill="1" applyBorder="1" applyAlignment="1" applyProtection="1">
      <alignment horizontal="center"/>
      <protection locked="0"/>
    </xf>
    <xf numFmtId="164" fontId="6" fillId="8" borderId="22" xfId="0" applyNumberFormat="1" applyFont="1" applyFill="1" applyBorder="1" applyAlignment="1" applyProtection="1">
      <alignment horizontal="center"/>
      <protection locked="0"/>
    </xf>
    <xf numFmtId="164" fontId="6" fillId="8" borderId="20" xfId="0" applyNumberFormat="1" applyFont="1" applyFill="1" applyBorder="1" applyAlignment="1" applyProtection="1">
      <alignment horizontal="center"/>
      <protection locked="0"/>
    </xf>
    <xf numFmtId="164" fontId="6" fillId="8" borderId="80" xfId="0" applyNumberFormat="1" applyFont="1" applyFill="1" applyBorder="1" applyAlignment="1" applyProtection="1">
      <alignment horizontal="center"/>
      <protection locked="0"/>
    </xf>
    <xf numFmtId="164" fontId="16" fillId="9" borderId="81" xfId="0" applyNumberFormat="1" applyFont="1" applyFill="1" applyBorder="1" applyAlignment="1" applyProtection="1">
      <alignment horizontal="center"/>
      <protection locked="0"/>
    </xf>
    <xf numFmtId="164" fontId="6" fillId="8" borderId="23" xfId="0" applyNumberFormat="1" applyFont="1" applyFill="1" applyBorder="1" applyAlignment="1" applyProtection="1">
      <alignment horizontal="center"/>
      <protection locked="0"/>
    </xf>
    <xf numFmtId="164" fontId="6" fillId="8" borderId="24" xfId="0" applyNumberFormat="1" applyFont="1" applyFill="1" applyBorder="1" applyAlignment="1" applyProtection="1">
      <alignment horizontal="center"/>
      <protection locked="0"/>
    </xf>
    <xf numFmtId="164" fontId="6" fillId="8" borderId="17" xfId="0" applyNumberFormat="1" applyFont="1" applyFill="1" applyBorder="1" applyAlignment="1" applyProtection="1">
      <alignment horizontal="center"/>
      <protection locked="0"/>
    </xf>
    <xf numFmtId="164" fontId="16" fillId="9" borderId="25" xfId="0" applyNumberFormat="1" applyFont="1" applyFill="1" applyBorder="1" applyAlignment="1" applyProtection="1">
      <alignment horizontal="center"/>
      <protection locked="0"/>
    </xf>
    <xf numFmtId="164" fontId="6" fillId="8" borderId="25" xfId="0" applyNumberFormat="1" applyFont="1" applyFill="1" applyBorder="1" applyAlignment="1" applyProtection="1">
      <alignment horizontal="center"/>
      <protection locked="0"/>
    </xf>
    <xf numFmtId="164" fontId="16" fillId="9" borderId="0" xfId="0" applyNumberFormat="1" applyFont="1" applyFill="1" applyBorder="1" applyAlignment="1" applyProtection="1">
      <alignment horizontal="center"/>
      <protection locked="0"/>
    </xf>
    <xf numFmtId="164" fontId="16" fillId="9" borderId="16" xfId="0" applyNumberFormat="1" applyFont="1" applyFill="1" applyBorder="1" applyAlignment="1" applyProtection="1">
      <alignment horizontal="center"/>
      <protection locked="0"/>
    </xf>
    <xf numFmtId="164" fontId="6" fillId="8" borderId="82" xfId="0" applyNumberFormat="1" applyFont="1" applyFill="1" applyBorder="1" applyAlignment="1" applyProtection="1">
      <alignment horizontal="center"/>
      <protection locked="0"/>
    </xf>
    <xf numFmtId="164" fontId="5" fillId="8" borderId="20" xfId="0" applyNumberFormat="1" applyFont="1" applyFill="1" applyBorder="1" applyAlignment="1" applyProtection="1">
      <alignment horizontal="center"/>
      <protection locked="0"/>
    </xf>
    <xf numFmtId="164" fontId="16" fillId="9" borderId="79" xfId="0" applyNumberFormat="1" applyFont="1" applyFill="1" applyBorder="1" applyAlignment="1" applyProtection="1">
      <alignment horizontal="center"/>
      <protection locked="0"/>
    </xf>
    <xf numFmtId="164" fontId="5" fillId="8" borderId="22" xfId="0" applyNumberFormat="1" applyFont="1" applyFill="1" applyBorder="1" applyAlignment="1" applyProtection="1">
      <alignment horizontal="center"/>
      <protection locked="0"/>
    </xf>
    <xf numFmtId="164" fontId="5" fillId="8" borderId="80" xfId="0" applyNumberFormat="1" applyFont="1" applyFill="1" applyBorder="1" applyAlignment="1" applyProtection="1">
      <alignment horizontal="center"/>
      <protection locked="0"/>
    </xf>
    <xf numFmtId="164" fontId="23" fillId="16" borderId="16" xfId="0" applyNumberFormat="1" applyFont="1" applyFill="1" applyBorder="1" applyAlignment="1" applyProtection="1">
      <alignment horizontal="center"/>
      <protection locked="0"/>
    </xf>
    <xf numFmtId="164" fontId="23" fillId="16" borderId="12" xfId="0" applyNumberFormat="1" applyFont="1" applyFill="1" applyBorder="1" applyAlignment="1" applyProtection="1">
      <alignment horizontal="center"/>
      <protection locked="0"/>
    </xf>
    <xf numFmtId="164" fontId="23" fillId="16" borderId="74" xfId="0" applyNumberFormat="1" applyFont="1" applyFill="1" applyBorder="1" applyAlignment="1" applyProtection="1">
      <alignment horizontal="center"/>
      <protection locked="0"/>
    </xf>
    <xf numFmtId="0" fontId="0" fillId="15" borderId="54" xfId="0" applyFont="1" applyFill="1" applyBorder="1" applyAlignment="1" applyProtection="1">
      <alignment horizontal="left" vertical="top" wrapText="1"/>
      <protection hidden="1"/>
    </xf>
    <xf numFmtId="0" fontId="0" fillId="15" borderId="55" xfId="0" applyFont="1" applyFill="1" applyBorder="1" applyAlignment="1" applyProtection="1">
      <alignment horizontal="left" vertical="top" wrapText="1"/>
      <protection hidden="1"/>
    </xf>
    <xf numFmtId="0" fontId="0" fillId="15" borderId="56" xfId="0" applyFont="1" applyFill="1" applyBorder="1" applyAlignment="1" applyProtection="1">
      <alignment horizontal="left" vertical="top" wrapText="1"/>
      <protection hidden="1"/>
    </xf>
    <xf numFmtId="0" fontId="0" fillId="15" borderId="57" xfId="0" applyFont="1" applyFill="1" applyBorder="1" applyAlignment="1" applyProtection="1">
      <alignment horizontal="left" vertical="top" wrapText="1"/>
      <protection hidden="1"/>
    </xf>
    <xf numFmtId="0" fontId="8" fillId="0" borderId="1" xfId="0" applyFont="1" applyFill="1" applyBorder="1" applyAlignment="1" applyProtection="1">
      <alignment horizontal="center"/>
      <protection hidden="1"/>
    </xf>
    <xf numFmtId="0" fontId="8" fillId="0" borderId="2" xfId="0" applyFont="1" applyFill="1" applyBorder="1" applyAlignment="1" applyProtection="1">
      <alignment horizontal="center"/>
      <protection hidden="1"/>
    </xf>
    <xf numFmtId="0" fontId="8" fillId="0" borderId="7" xfId="0" applyFont="1" applyFill="1" applyBorder="1" applyAlignment="1" applyProtection="1">
      <alignment horizontal="center"/>
      <protection hidden="1"/>
    </xf>
    <xf numFmtId="0" fontId="7" fillId="0" borderId="3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center"/>
      <protection hidden="1"/>
    </xf>
    <xf numFmtId="0" fontId="2" fillId="15" borderId="54" xfId="0" applyFont="1" applyFill="1" applyBorder="1" applyAlignment="1" applyProtection="1">
      <alignment horizontal="left" vertical="top"/>
      <protection hidden="1"/>
    </xf>
    <xf numFmtId="0" fontId="2" fillId="15" borderId="55" xfId="0" applyFont="1" applyFill="1" applyBorder="1" applyAlignment="1" applyProtection="1">
      <alignment horizontal="left" vertical="top"/>
      <protection hidden="1"/>
    </xf>
    <xf numFmtId="0" fontId="14" fillId="15" borderId="50" xfId="0" applyFont="1" applyFill="1" applyBorder="1" applyAlignment="1" applyProtection="1">
      <alignment horizontal="center" vertical="center"/>
      <protection hidden="1"/>
    </xf>
    <xf numFmtId="0" fontId="14" fillId="15" borderId="51" xfId="0" applyFont="1" applyFill="1" applyBorder="1" applyAlignment="1" applyProtection="1">
      <alignment horizontal="center" vertical="center"/>
      <protection hidden="1"/>
    </xf>
    <xf numFmtId="0" fontId="3" fillId="15" borderId="49" xfId="0" applyFont="1" applyFill="1" applyBorder="1" applyAlignment="1" applyProtection="1">
      <alignment horizontal="left" vertical="center"/>
      <protection hidden="1"/>
    </xf>
    <xf numFmtId="0" fontId="3" fillId="15" borderId="50" xfId="0" applyFont="1" applyFill="1" applyBorder="1" applyAlignment="1" applyProtection="1">
      <alignment horizontal="left" vertical="center"/>
      <protection hidden="1"/>
    </xf>
    <xf numFmtId="0" fontId="19" fillId="17" borderId="37" xfId="0" applyFont="1" applyFill="1" applyBorder="1" applyAlignment="1" applyProtection="1">
      <alignment horizontal="center" vertical="center"/>
      <protection locked="0"/>
    </xf>
    <xf numFmtId="0" fontId="19" fillId="12" borderId="39" xfId="0" applyFont="1" applyFill="1" applyBorder="1" applyAlignment="1" applyProtection="1">
      <alignment horizontal="center" vertical="center"/>
      <protection locked="0"/>
    </xf>
    <xf numFmtId="0" fontId="19" fillId="12" borderId="4" xfId="0" applyFont="1" applyFill="1" applyBorder="1" applyAlignment="1" applyProtection="1">
      <alignment horizontal="center" vertical="center"/>
      <protection locked="0"/>
    </xf>
    <xf numFmtId="0" fontId="19" fillId="12" borderId="40" xfId="0" applyFont="1" applyFill="1" applyBorder="1" applyAlignment="1" applyProtection="1">
      <alignment horizontal="center" vertical="center"/>
      <protection locked="0"/>
    </xf>
    <xf numFmtId="0" fontId="19" fillId="12" borderId="41" xfId="0" applyFont="1" applyFill="1" applyBorder="1" applyAlignment="1" applyProtection="1">
      <alignment horizontal="center" vertical="center"/>
      <protection locked="0"/>
    </xf>
    <xf numFmtId="0" fontId="19" fillId="12" borderId="43" xfId="0" applyFont="1" applyFill="1" applyBorder="1" applyAlignment="1" applyProtection="1">
      <alignment horizontal="center" vertical="center"/>
      <protection locked="0"/>
    </xf>
    <xf numFmtId="0" fontId="15" fillId="13" borderId="0" xfId="0" applyFont="1" applyFill="1" applyAlignment="1">
      <alignment horizontal="left" vertical="center"/>
    </xf>
    <xf numFmtId="0" fontId="7" fillId="13" borderId="0" xfId="0" applyFont="1" applyFill="1" applyBorder="1" applyAlignment="1" applyProtection="1">
      <alignment horizontal="left"/>
      <protection locked="0"/>
    </xf>
    <xf numFmtId="0" fontId="7" fillId="13" borderId="60" xfId="0" applyFont="1" applyFill="1" applyBorder="1" applyAlignment="1" applyProtection="1">
      <alignment horizontal="left"/>
      <protection locked="0"/>
    </xf>
    <xf numFmtId="22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0" fontId="7" fillId="13" borderId="0" xfId="0" applyFont="1" applyFill="1" applyBorder="1" applyAlignment="1" applyProtection="1">
      <alignment horizontal="left" vertical="top"/>
      <protection locked="0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</cellXfs>
  <cellStyles count="4">
    <cellStyle name="Calculation" xfId="1" builtinId="22" customBuiltin="1"/>
    <cellStyle name="Comma" xfId="2" builtinId="3"/>
    <cellStyle name="Hyperlink" xfId="3" builtinId="8"/>
    <cellStyle name="Normal" xfId="0" builtinId="0"/>
  </cellStyles>
  <dxfs count="29"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70C0"/>
      </font>
    </dxf>
    <dxf>
      <font>
        <strike val="0"/>
        <outline val="0"/>
        <shadow val="0"/>
        <u val="none"/>
        <vertAlign val="baseline"/>
        <sz val="11"/>
        <color auto="1"/>
        <name val="Cellsweeper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70C0"/>
      </font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  <border>
        <bottom style="thin">
          <color auto="1"/>
        </bottom>
      </border>
    </dxf>
  </dxfs>
  <tableStyles count="1" defaultTableStyle="Table Style 1" defaultPivotStyle="PivotStyleLight16">
    <tableStyle name="Table Style 1" pivot="0" count="1">
      <tableStyleElement type="headerRow" dxfId="28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</xdr:row>
          <xdr:rowOff>114300</xdr:rowOff>
        </xdr:from>
        <xdr:to>
          <xdr:col>10</xdr:col>
          <xdr:colOff>314325</xdr:colOff>
          <xdr:row>16</xdr:row>
          <xdr:rowOff>190500</xdr:rowOff>
        </xdr:to>
        <xdr:sp macro="" textlink="">
          <xdr:nvSpPr>
            <xdr:cNvPr id="2051" name="ClassPicke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981075</xdr:colOff>
          <xdr:row>18</xdr:row>
          <xdr:rowOff>19050</xdr:rowOff>
        </xdr:from>
        <xdr:to>
          <xdr:col>6</xdr:col>
          <xdr:colOff>904875</xdr:colOff>
          <xdr:row>19</xdr:row>
          <xdr:rowOff>266700</xdr:rowOff>
        </xdr:to>
        <xdr:sp macro="" textlink="">
          <xdr:nvSpPr>
            <xdr:cNvPr id="2053" name="b_pla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19</xdr:row>
          <xdr:rowOff>514350</xdr:rowOff>
        </xdr:from>
        <xdr:to>
          <xdr:col>3</xdr:col>
          <xdr:colOff>647700</xdr:colOff>
          <xdr:row>20</xdr:row>
          <xdr:rowOff>114300</xdr:rowOff>
        </xdr:to>
        <xdr:sp macro="" textlink="">
          <xdr:nvSpPr>
            <xdr:cNvPr id="2054" name="b_help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19</xdr:row>
          <xdr:rowOff>514350</xdr:rowOff>
        </xdr:from>
        <xdr:to>
          <xdr:col>4</xdr:col>
          <xdr:colOff>771525</xdr:colOff>
          <xdr:row>20</xdr:row>
          <xdr:rowOff>114300</xdr:rowOff>
        </xdr:to>
        <xdr:sp macro="" textlink="">
          <xdr:nvSpPr>
            <xdr:cNvPr id="2055" name="b_about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19</xdr:row>
          <xdr:rowOff>514350</xdr:rowOff>
        </xdr:from>
        <xdr:to>
          <xdr:col>6</xdr:col>
          <xdr:colOff>981075</xdr:colOff>
          <xdr:row>20</xdr:row>
          <xdr:rowOff>114300</xdr:rowOff>
        </xdr:to>
        <xdr:sp macro="" textlink="">
          <xdr:nvSpPr>
            <xdr:cNvPr id="2056" name="b_Rese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514350</xdr:rowOff>
        </xdr:from>
        <xdr:to>
          <xdr:col>10</xdr:col>
          <xdr:colOff>304800</xdr:colOff>
          <xdr:row>20</xdr:row>
          <xdr:rowOff>104775</xdr:rowOff>
        </xdr:to>
        <xdr:sp macro="" textlink="">
          <xdr:nvSpPr>
            <xdr:cNvPr id="2057" name="b_Exi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2</xdr:row>
          <xdr:rowOff>57150</xdr:rowOff>
        </xdr:from>
        <xdr:to>
          <xdr:col>44</xdr:col>
          <xdr:colOff>104775</xdr:colOff>
          <xdr:row>4</xdr:row>
          <xdr:rowOff>57150</xdr:rowOff>
        </xdr:to>
        <xdr:sp macro="" textlink="">
          <xdr:nvSpPr>
            <xdr:cNvPr id="1025" name="bMainMenu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76200</xdr:colOff>
          <xdr:row>2</xdr:row>
          <xdr:rowOff>57150</xdr:rowOff>
        </xdr:from>
        <xdr:to>
          <xdr:col>39</xdr:col>
          <xdr:colOff>190500</xdr:colOff>
          <xdr:row>4</xdr:row>
          <xdr:rowOff>57150</xdr:rowOff>
        </xdr:to>
        <xdr:sp macro="" textlink="">
          <xdr:nvSpPr>
            <xdr:cNvPr id="1028" name="bRestar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0</xdr:row>
          <xdr:rowOff>104775</xdr:rowOff>
        </xdr:from>
        <xdr:to>
          <xdr:col>29</xdr:col>
          <xdr:colOff>19050</xdr:colOff>
          <xdr:row>1</xdr:row>
          <xdr:rowOff>57150</xdr:rowOff>
        </xdr:to>
        <xdr:sp macro="" textlink="">
          <xdr:nvSpPr>
            <xdr:cNvPr id="9217" name="bMainMenu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109904</xdr:colOff>
      <xdr:row>12</xdr:row>
      <xdr:rowOff>194579</xdr:rowOff>
    </xdr:from>
    <xdr:to>
      <xdr:col>14</xdr:col>
      <xdr:colOff>211770</xdr:colOff>
      <xdr:row>13</xdr:row>
      <xdr:rowOff>109904</xdr:rowOff>
    </xdr:to>
    <xdr:cxnSp macro="">
      <xdr:nvCxnSpPr>
        <xdr:cNvPr id="3" name="Straight Arrow Connector 2"/>
        <xdr:cNvCxnSpPr>
          <a:stCxn id="7" idx="1"/>
        </xdr:cNvCxnSpPr>
      </xdr:nvCxnSpPr>
      <xdr:spPr>
        <a:xfrm flipH="1">
          <a:off x="2608385" y="2627117"/>
          <a:ext cx="783270" cy="11315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211770</xdr:colOff>
      <xdr:row>11</xdr:row>
      <xdr:rowOff>131695</xdr:rowOff>
    </xdr:from>
    <xdr:to>
      <xdr:col>21</xdr:col>
      <xdr:colOff>0</xdr:colOff>
      <xdr:row>14</xdr:row>
      <xdr:rowOff>37655</xdr:rowOff>
    </xdr:to>
    <xdr:sp macro="" textlink="">
      <xdr:nvSpPr>
        <xdr:cNvPr id="7" name="Rectangle 6"/>
        <xdr:cNvSpPr/>
      </xdr:nvSpPr>
      <xdr:spPr>
        <a:xfrm>
          <a:off x="3391655" y="2373733"/>
          <a:ext cx="1378172" cy="506768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can click here</a:t>
          </a:r>
        </a:p>
      </xdr:txBody>
    </xdr:sp>
    <xdr:clientData/>
  </xdr:twoCellAnchor>
  <xdr:twoCellAnchor>
    <xdr:from>
      <xdr:col>14</xdr:col>
      <xdr:colOff>204134</xdr:colOff>
      <xdr:row>16</xdr:row>
      <xdr:rowOff>109903</xdr:rowOff>
    </xdr:from>
    <xdr:to>
      <xdr:col>24</xdr:col>
      <xdr:colOff>168517</xdr:colOff>
      <xdr:row>19</xdr:row>
      <xdr:rowOff>107418</xdr:rowOff>
    </xdr:to>
    <xdr:sp macro="" textlink="">
      <xdr:nvSpPr>
        <xdr:cNvPr id="8" name="Rectangle 7"/>
        <xdr:cNvSpPr/>
      </xdr:nvSpPr>
      <xdr:spPr>
        <a:xfrm>
          <a:off x="3384019" y="3553557"/>
          <a:ext cx="2235729" cy="56901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cannot click here (diagonal movement</a:t>
          </a:r>
          <a:r>
            <a:rPr lang="en-US" sz="1100" baseline="0">
              <a:solidFill>
                <a:sysClr val="windowText" lastClr="000000"/>
              </a:solidFill>
            </a:rPr>
            <a:t> is not allowed)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119269</xdr:colOff>
      <xdr:row>18</xdr:row>
      <xdr:rowOff>13411</xdr:rowOff>
    </xdr:from>
    <xdr:to>
      <xdr:col>14</xdr:col>
      <xdr:colOff>204134</xdr:colOff>
      <xdr:row>19</xdr:row>
      <xdr:rowOff>99391</xdr:rowOff>
    </xdr:to>
    <xdr:cxnSp macro="">
      <xdr:nvCxnSpPr>
        <xdr:cNvPr id="12" name="Straight Arrow Connector 11"/>
        <xdr:cNvCxnSpPr>
          <a:stCxn id="8" idx="1"/>
        </xdr:cNvCxnSpPr>
      </xdr:nvCxnSpPr>
      <xdr:spPr>
        <a:xfrm flipH="1">
          <a:off x="3072019" y="3838065"/>
          <a:ext cx="312000" cy="27648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118241</xdr:colOff>
      <xdr:row>12</xdr:row>
      <xdr:rowOff>111672</xdr:rowOff>
    </xdr:from>
    <xdr:to>
      <xdr:col>3</xdr:col>
      <xdr:colOff>170793</xdr:colOff>
      <xdr:row>14</xdr:row>
      <xdr:rowOff>66261</xdr:rowOff>
    </xdr:to>
    <xdr:sp macro="" textlink="">
      <xdr:nvSpPr>
        <xdr:cNvPr id="13" name="Rectangle 12"/>
        <xdr:cNvSpPr/>
      </xdr:nvSpPr>
      <xdr:spPr>
        <a:xfrm>
          <a:off x="118241" y="1966976"/>
          <a:ext cx="768169" cy="345528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Explored</a:t>
          </a:r>
        </a:p>
      </xdr:txBody>
    </xdr:sp>
    <xdr:clientData/>
  </xdr:twoCellAnchor>
  <xdr:twoCellAnchor>
    <xdr:from>
      <xdr:col>3</xdr:col>
      <xdr:colOff>170793</xdr:colOff>
      <xdr:row>13</xdr:row>
      <xdr:rowOff>92279</xdr:rowOff>
    </xdr:from>
    <xdr:to>
      <xdr:col>7</xdr:col>
      <xdr:colOff>131379</xdr:colOff>
      <xdr:row>15</xdr:row>
      <xdr:rowOff>124810</xdr:rowOff>
    </xdr:to>
    <xdr:cxnSp macro="">
      <xdr:nvCxnSpPr>
        <xdr:cNvPr id="14" name="Straight Arrow Connector 13"/>
        <xdr:cNvCxnSpPr>
          <a:stCxn id="13" idx="3"/>
        </xdr:cNvCxnSpPr>
      </xdr:nvCxnSpPr>
      <xdr:spPr>
        <a:xfrm>
          <a:off x="886410" y="2139740"/>
          <a:ext cx="914743" cy="43009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137948</xdr:colOff>
      <xdr:row>17</xdr:row>
      <xdr:rowOff>52551</xdr:rowOff>
    </xdr:from>
    <xdr:to>
      <xdr:col>4</xdr:col>
      <xdr:colOff>57978</xdr:colOff>
      <xdr:row>19</xdr:row>
      <xdr:rowOff>181707</xdr:rowOff>
    </xdr:to>
    <xdr:sp macro="" textlink="">
      <xdr:nvSpPr>
        <xdr:cNvPr id="18" name="Rectangle 17"/>
        <xdr:cNvSpPr/>
      </xdr:nvSpPr>
      <xdr:spPr>
        <a:xfrm>
          <a:off x="137948" y="2836782"/>
          <a:ext cx="857876" cy="49257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Not</a:t>
          </a:r>
          <a:r>
            <a:rPr lang="en-US" sz="1100" baseline="0">
              <a:solidFill>
                <a:sysClr val="windowText" lastClr="000000"/>
              </a:solidFill>
            </a:rPr>
            <a:t> Explored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57978</xdr:colOff>
      <xdr:row>18</xdr:row>
      <xdr:rowOff>117130</xdr:rowOff>
    </xdr:from>
    <xdr:to>
      <xdr:col>6</xdr:col>
      <xdr:colOff>144517</xdr:colOff>
      <xdr:row>18</xdr:row>
      <xdr:rowOff>131379</xdr:rowOff>
    </xdr:to>
    <xdr:cxnSp macro="">
      <xdr:nvCxnSpPr>
        <xdr:cNvPr id="19" name="Straight Arrow Connector 18"/>
        <xdr:cNvCxnSpPr>
          <a:stCxn id="18" idx="3"/>
        </xdr:cNvCxnSpPr>
      </xdr:nvCxnSpPr>
      <xdr:spPr>
        <a:xfrm>
          <a:off x="995824" y="3083068"/>
          <a:ext cx="555462" cy="1424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0</xdr:row>
          <xdr:rowOff>104775</xdr:rowOff>
        </xdr:from>
        <xdr:to>
          <xdr:col>29</xdr:col>
          <xdr:colOff>19050</xdr:colOff>
          <xdr:row>1</xdr:row>
          <xdr:rowOff>57150</xdr:rowOff>
        </xdr:to>
        <xdr:sp macro="" textlink="">
          <xdr:nvSpPr>
            <xdr:cNvPr id="4099" name="bMainMenu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Stats" displayName="tStats" ref="N26:Z32" totalsRowShown="0" headerRowDxfId="26" dataDxfId="25">
  <autoFilter ref="N26:Z32"/>
  <tableColumns count="13">
    <tableColumn id="11" name="index" dataDxfId="24"/>
    <tableColumn id="2" name="Class" dataDxfId="23"/>
    <tableColumn id="1" name="Picture" dataDxfId="22"/>
    <tableColumn id="3" name="HP" dataDxfId="21"/>
    <tableColumn id="6" name="Locked" dataDxfId="20"/>
    <tableColumn id="12" name="HighScore" dataDxfId="19"/>
    <tableColumn id="10" name="FastestTime" dataDxfId="18"/>
    <tableColumn id="8" name="Played" dataDxfId="17"/>
    <tableColumn id="9" name="Won" dataDxfId="16"/>
    <tableColumn id="4" name="Ability" dataDxfId="15"/>
    <tableColumn id="5" name="Description" dataDxfId="14"/>
    <tableColumn id="7" name="Locked Message" dataDxfId="13"/>
    <tableColumn id="13" name="Difficulty" dataDxfId="1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2" name="enemies" displayName="enemies" ref="AV6:BE11" totalsRowShown="0">
  <autoFilter ref="AV6:BE11"/>
  <tableColumns count="10">
    <tableColumn id="1" name="Level"/>
    <tableColumn id="2" name="Red" dataDxfId="11"/>
    <tableColumn id="3" name="Green" dataDxfId="10"/>
    <tableColumn id="4" name="Blue" dataDxfId="9"/>
    <tableColumn id="9" name="count" dataDxfId="8"/>
    <tableColumn id="8" name="distribution"/>
    <tableColumn id="5" name="enemy_xp" dataDxfId="7"/>
    <tableColumn id="6" name="char" dataDxfId="6"/>
    <tableColumn id="7" name="xp" dataDxfId="5"/>
    <tableColumn id="10" name="names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4" name="colors" displayName="colors" ref="BG6:BJ15" totalsRowShown="0" dataDxfId="4">
  <autoFilter ref="BG6:BJ15"/>
  <tableColumns count="4">
    <tableColumn id="1" name="Name" dataDxfId="3"/>
    <tableColumn id="2" name="Red" dataDxfId="2"/>
    <tableColumn id="3" name="Green" dataDxfId="1"/>
    <tableColumn id="4" name="Blue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idtones">
      <a:dk1>
        <a:srgbClr val="000000"/>
      </a:dk1>
      <a:lt1>
        <a:srgbClr val="FFFFFF"/>
      </a:lt1>
      <a:dk2>
        <a:srgbClr val="B2912F"/>
      </a:dk2>
      <a:lt2>
        <a:srgbClr val="F17CB0"/>
      </a:lt2>
      <a:accent1>
        <a:srgbClr val="5DA5DA"/>
      </a:accent1>
      <a:accent2>
        <a:srgbClr val="F15854"/>
      </a:accent2>
      <a:accent3>
        <a:srgbClr val="60BD68"/>
      </a:accent3>
      <a:accent4>
        <a:srgbClr val="FAA43A"/>
      </a:accent4>
      <a:accent5>
        <a:srgbClr val="B276B2"/>
      </a:accent5>
      <a:accent6>
        <a:srgbClr val="DECF3F"/>
      </a:accent6>
      <a:hlink>
        <a:srgbClr val="0000BF"/>
      </a:hlink>
      <a:folHlink>
        <a:srgbClr val="5F006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>
            <a:lumMod val="75000"/>
          </a:scheme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comments" Target="../comments1.xml"/><Relationship Id="rId4" Type="http://schemas.openxmlformats.org/officeDocument/2006/relationships/control" Target="../activeX/activeX7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9.emf"/><Relationship Id="rId2" Type="http://schemas.openxmlformats.org/officeDocument/2006/relationships/hyperlink" Target="https://thewrongtools.wordpress.com/" TargetMode="External"/><Relationship Id="rId1" Type="http://schemas.openxmlformats.org/officeDocument/2006/relationships/hyperlink" Target="http://www.hojamaka.com/game/mamono_sweeper/" TargetMode="External"/><Relationship Id="rId6" Type="http://schemas.openxmlformats.org/officeDocument/2006/relationships/control" Target="../activeX/activeX9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/>
  </sheetPr>
  <dimension ref="A2:Z38"/>
  <sheetViews>
    <sheetView showGridLines="0" tabSelected="1" zoomScaleNormal="100" workbookViewId="0">
      <selection activeCell="B2" sqref="B2:K2"/>
    </sheetView>
  </sheetViews>
  <sheetFormatPr defaultColWidth="0" defaultRowHeight="15" x14ac:dyDescent="0.25"/>
  <cols>
    <col min="1" max="1" width="3.42578125" customWidth="1"/>
    <col min="2" max="2" width="15.5703125" customWidth="1"/>
    <col min="3" max="3" width="3.42578125" customWidth="1"/>
    <col min="4" max="4" width="16.5703125" customWidth="1"/>
    <col min="5" max="5" width="12.28515625" style="1" customWidth="1"/>
    <col min="6" max="6" width="2.42578125" style="1" customWidth="1"/>
    <col min="7" max="7" width="16.85546875" style="1" customWidth="1"/>
    <col min="8" max="8" width="6.42578125" customWidth="1"/>
    <col min="9" max="9" width="2.5703125" style="1" customWidth="1"/>
    <col min="10" max="10" width="2.7109375" customWidth="1"/>
    <col min="11" max="11" width="20" customWidth="1"/>
    <col min="12" max="12" width="5.28515625" customWidth="1"/>
    <col min="13" max="14" width="8.85546875" hidden="1" customWidth="1"/>
    <col min="15" max="15" width="9.42578125" hidden="1" customWidth="1"/>
    <col min="16" max="16" width="9.5703125" style="1" hidden="1" customWidth="1"/>
    <col min="17" max="17" width="14.140625" style="1" hidden="1" customWidth="1"/>
    <col min="18" max="18" width="9.42578125" hidden="1" customWidth="1"/>
    <col min="19" max="19" width="12.140625" style="1" hidden="1" customWidth="1"/>
    <col min="20" max="20" width="14" hidden="1" customWidth="1"/>
    <col min="21" max="21" width="9.28515625" hidden="1" customWidth="1"/>
    <col min="22" max="22" width="7.42578125" hidden="1" customWidth="1"/>
    <col min="23" max="23" width="14.140625" hidden="1" customWidth="1"/>
    <col min="24" max="24" width="66" hidden="1" customWidth="1"/>
    <col min="25" max="25" width="54.28515625" hidden="1" customWidth="1"/>
    <col min="26" max="16384" width="8.85546875" hidden="1"/>
  </cols>
  <sheetData>
    <row r="2" spans="2:22" ht="51" x14ac:dyDescent="0.75">
      <c r="B2" s="233" t="s">
        <v>22</v>
      </c>
      <c r="C2" s="234"/>
      <c r="D2" s="234"/>
      <c r="E2" s="234"/>
      <c r="F2" s="234"/>
      <c r="G2" s="234"/>
      <c r="H2" s="234"/>
      <c r="I2" s="234"/>
      <c r="J2" s="234"/>
      <c r="K2" s="235"/>
    </row>
    <row r="3" spans="2:22" s="1" customFormat="1" x14ac:dyDescent="0.25">
      <c r="B3" s="236" t="s">
        <v>61</v>
      </c>
      <c r="C3" s="237"/>
      <c r="D3" s="237"/>
      <c r="E3" s="237"/>
      <c r="F3" s="237"/>
      <c r="G3" s="237"/>
      <c r="H3" s="237"/>
      <c r="I3" s="237"/>
      <c r="J3" s="237"/>
      <c r="K3" s="238"/>
      <c r="N3" t="s">
        <v>40</v>
      </c>
      <c r="Q3" s="115">
        <v>1</v>
      </c>
    </row>
    <row r="4" spans="2:22" ht="9" customHeight="1" x14ac:dyDescent="0.25">
      <c r="B4" s="117"/>
      <c r="C4" s="118"/>
      <c r="D4" s="118"/>
      <c r="E4" s="118"/>
      <c r="F4" s="118"/>
      <c r="G4" s="118"/>
      <c r="H4" s="118"/>
      <c r="I4" s="118"/>
      <c r="J4" s="118"/>
      <c r="K4" s="119"/>
    </row>
    <row r="5" spans="2:22" x14ac:dyDescent="0.25">
      <c r="B5" s="117"/>
      <c r="C5" s="120"/>
      <c r="D5" s="121"/>
      <c r="E5" s="121"/>
      <c r="F5" s="121"/>
      <c r="G5" s="121"/>
      <c r="H5" s="120"/>
      <c r="I5" s="120"/>
      <c r="J5" s="120"/>
      <c r="K5" s="119"/>
      <c r="N5" s="1" t="s">
        <v>76</v>
      </c>
      <c r="O5" s="1"/>
      <c r="Q5" s="115" t="b">
        <f>INDEX(tStats[Locked],Q3)</f>
        <v>0</v>
      </c>
    </row>
    <row r="6" spans="2:22" ht="31.5" customHeight="1" x14ac:dyDescent="0.25">
      <c r="B6" s="117"/>
      <c r="C6" s="120"/>
      <c r="D6" s="243" t="str">
        <f>IF(Main!$Q$5,"[Class Locked]",INDEX(tStats[Class],Main!$Q$3))</f>
        <v>Fighter</v>
      </c>
      <c r="E6" s="244"/>
      <c r="F6" s="244"/>
      <c r="G6" s="122" t="str">
        <f>IF(Main!$Q$5,"?",INDEX(tStats[HP]&amp;" HP",Main!Q3))</f>
        <v>7 HP</v>
      </c>
      <c r="H6" s="241" t="str">
        <f>INDEX(tStats[Picture],Main!$Q$3)</f>
        <v>f</v>
      </c>
      <c r="I6" s="242"/>
      <c r="J6" s="120"/>
      <c r="K6" s="119"/>
    </row>
    <row r="7" spans="2:22" s="165" customFormat="1" ht="21" x14ac:dyDescent="0.35">
      <c r="B7" s="166"/>
      <c r="C7" s="167"/>
      <c r="D7" s="173" t="str">
        <f>IF(Main!$Q$5,"","Difficulty: "&amp;INDEX(tStats[Difficulty],Main!$Q$3))</f>
        <v>Difficulty: *--</v>
      </c>
      <c r="E7" s="168"/>
      <c r="F7" s="168"/>
      <c r="G7" s="169"/>
      <c r="H7" s="170"/>
      <c r="I7" s="171"/>
      <c r="J7" s="167"/>
      <c r="K7" s="172"/>
    </row>
    <row r="8" spans="2:22" s="1" customFormat="1" ht="17.45" customHeight="1" x14ac:dyDescent="0.25">
      <c r="B8" s="117"/>
      <c r="C8" s="120"/>
      <c r="D8" s="123"/>
      <c r="E8" s="124"/>
      <c r="F8" s="123"/>
      <c r="G8" s="125"/>
      <c r="H8" s="126"/>
      <c r="I8" s="127"/>
      <c r="J8" s="120"/>
      <c r="K8" s="119"/>
    </row>
    <row r="9" spans="2:22" s="1" customFormat="1" ht="15" customHeight="1" x14ac:dyDescent="0.25">
      <c r="B9" s="117"/>
      <c r="C9" s="120"/>
      <c r="D9" s="239" t="str">
        <f>IF(Main!$Q$5,"","Ability: "&amp;INDEX(tStats[Ability],Main!$Q$3))</f>
        <v>Ability: Tough</v>
      </c>
      <c r="E9" s="240"/>
      <c r="F9" s="128"/>
      <c r="G9" s="129" t="s">
        <v>110</v>
      </c>
      <c r="H9" s="130"/>
      <c r="I9" s="131"/>
      <c r="J9" s="120"/>
      <c r="K9" s="119"/>
      <c r="N9" s="1" t="s">
        <v>129</v>
      </c>
      <c r="Q9" s="115" t="b">
        <v>0</v>
      </c>
    </row>
    <row r="10" spans="2:22" ht="6.6" customHeight="1" x14ac:dyDescent="0.25">
      <c r="B10" s="117"/>
      <c r="C10" s="120"/>
      <c r="D10" s="132"/>
      <c r="E10" s="131"/>
      <c r="F10" s="128"/>
      <c r="G10" s="133"/>
      <c r="H10" s="133"/>
      <c r="I10" s="131"/>
      <c r="J10" s="120"/>
      <c r="K10" s="119"/>
    </row>
    <row r="11" spans="2:22" s="1" customFormat="1" ht="15" customHeight="1" x14ac:dyDescent="0.25">
      <c r="B11" s="117"/>
      <c r="C11" s="120"/>
      <c r="D11" s="229" t="str">
        <f>IF(Main!$Q$5,"To Unlock: "&amp;INDEX(tStats[Locked Message],Main!Q3),INDEX(tStats[Description],Main!Q3))</f>
        <v>Heals 1 HP upon level up</v>
      </c>
      <c r="E11" s="230"/>
      <c r="F11" s="134"/>
      <c r="G11" s="130" t="s">
        <v>111</v>
      </c>
      <c r="H11" s="143">
        <f>IF(Main!$Q$5,"N/A",INDEX(tStats[HighScore],Main!$Q$3))</f>
        <v>0</v>
      </c>
      <c r="I11" s="131"/>
      <c r="J11" s="120"/>
      <c r="K11" s="119"/>
    </row>
    <row r="12" spans="2:22" s="1" customFormat="1" ht="15" customHeight="1" x14ac:dyDescent="0.25">
      <c r="B12" s="117"/>
      <c r="C12" s="120"/>
      <c r="D12" s="229"/>
      <c r="E12" s="230"/>
      <c r="F12" s="134"/>
      <c r="G12" s="135" t="s">
        <v>119</v>
      </c>
      <c r="H12" s="142" t="str">
        <f>IF(Main!$Q$5,"N/A",INDEX(tStats[FastestTime],Main!$Q$3))</f>
        <v>N/A</v>
      </c>
      <c r="I12" s="131"/>
      <c r="J12" s="120"/>
      <c r="K12" s="119"/>
    </row>
    <row r="13" spans="2:22" s="1" customFormat="1" ht="15" customHeight="1" x14ac:dyDescent="0.25">
      <c r="B13" s="117"/>
      <c r="C13" s="120"/>
      <c r="D13" s="229"/>
      <c r="E13" s="230"/>
      <c r="F13" s="134"/>
      <c r="G13" s="130"/>
      <c r="H13" s="144"/>
      <c r="I13" s="131"/>
      <c r="J13" s="120"/>
      <c r="K13" s="119"/>
    </row>
    <row r="14" spans="2:22" s="1" customFormat="1" ht="15" customHeight="1" x14ac:dyDescent="0.25">
      <c r="B14" s="117"/>
      <c r="C14" s="120"/>
      <c r="D14" s="229"/>
      <c r="E14" s="230"/>
      <c r="F14" s="134"/>
      <c r="G14" s="133" t="s">
        <v>63</v>
      </c>
      <c r="H14" s="145">
        <f>IF(Main!$Q$5,"N/A",INDEX(tStats[Played],Main!$Q$3))</f>
        <v>0</v>
      </c>
      <c r="I14" s="131"/>
      <c r="J14" s="120"/>
      <c r="K14" s="119"/>
    </row>
    <row r="15" spans="2:22" s="1" customFormat="1" ht="15" customHeight="1" x14ac:dyDescent="0.25">
      <c r="B15" s="117"/>
      <c r="C15" s="120"/>
      <c r="D15" s="229"/>
      <c r="E15" s="230"/>
      <c r="F15" s="134"/>
      <c r="G15" s="133" t="s">
        <v>64</v>
      </c>
      <c r="H15" s="145">
        <f>IF(Main!$Q$5,"N/A",INDEX(tStats[Won],Main!$Q$3))</f>
        <v>0</v>
      </c>
      <c r="I15" s="131"/>
      <c r="J15" s="120"/>
      <c r="K15" s="119"/>
    </row>
    <row r="16" spans="2:22" ht="15" customHeight="1" x14ac:dyDescent="0.25">
      <c r="B16" s="117"/>
      <c r="C16" s="120"/>
      <c r="D16" s="231"/>
      <c r="E16" s="232"/>
      <c r="F16" s="136"/>
      <c r="G16" s="137"/>
      <c r="H16" s="137"/>
      <c r="I16" s="138"/>
      <c r="J16" s="120"/>
      <c r="K16" s="119"/>
      <c r="O16" s="1"/>
      <c r="R16" s="1"/>
      <c r="T16" s="1"/>
      <c r="U16" s="1"/>
      <c r="V16" s="1"/>
    </row>
    <row r="17" spans="2:26" ht="15" customHeight="1" x14ac:dyDescent="0.25">
      <c r="B17" s="117"/>
      <c r="C17" s="120"/>
      <c r="D17" s="120"/>
      <c r="E17" s="120"/>
      <c r="F17" s="120"/>
      <c r="G17" s="120"/>
      <c r="H17" s="120"/>
      <c r="I17" s="120"/>
      <c r="J17" s="120"/>
      <c r="K17" s="119"/>
      <c r="O17" s="1"/>
      <c r="R17" s="1"/>
      <c r="T17" s="1"/>
      <c r="U17" s="1"/>
      <c r="V17" s="1"/>
    </row>
    <row r="18" spans="2:26" x14ac:dyDescent="0.25">
      <c r="B18" s="117"/>
      <c r="C18" s="118"/>
      <c r="D18" s="118"/>
      <c r="E18" s="118"/>
      <c r="F18" s="118"/>
      <c r="G18" s="118"/>
      <c r="H18" s="118"/>
      <c r="I18" s="118"/>
      <c r="J18" s="118"/>
      <c r="K18" s="119"/>
      <c r="O18" s="1"/>
      <c r="R18" s="1"/>
      <c r="T18" s="1"/>
      <c r="U18" s="1"/>
      <c r="V18" s="1"/>
    </row>
    <row r="19" spans="2:26" x14ac:dyDescent="0.25">
      <c r="B19" s="117"/>
      <c r="C19" s="118"/>
      <c r="D19" s="118"/>
      <c r="E19" s="118"/>
      <c r="F19" s="118"/>
      <c r="G19" s="118"/>
      <c r="H19" s="118"/>
      <c r="I19" s="118"/>
      <c r="J19" s="118"/>
      <c r="K19" s="119"/>
      <c r="O19" s="1"/>
      <c r="R19" s="1"/>
      <c r="T19" s="1"/>
      <c r="U19" s="1"/>
      <c r="V19" s="1"/>
    </row>
    <row r="20" spans="2:26" ht="66" customHeight="1" x14ac:dyDescent="0.25">
      <c r="B20" s="117"/>
      <c r="C20" s="118"/>
      <c r="D20" s="118"/>
      <c r="E20" s="118"/>
      <c r="F20" s="118"/>
      <c r="G20" s="118"/>
      <c r="H20" s="118"/>
      <c r="I20" s="118"/>
      <c r="J20" s="118"/>
      <c r="K20" s="119"/>
      <c r="O20" s="1"/>
      <c r="R20" s="1"/>
      <c r="T20" s="1"/>
      <c r="U20" s="1"/>
      <c r="V20" s="1"/>
    </row>
    <row r="21" spans="2:26" x14ac:dyDescent="0.25">
      <c r="B21" s="117"/>
      <c r="C21" s="118"/>
      <c r="D21" s="118"/>
      <c r="E21" s="118"/>
      <c r="F21" s="118"/>
      <c r="G21" s="118"/>
      <c r="H21" s="118"/>
      <c r="I21" s="118"/>
      <c r="J21" s="118"/>
      <c r="K21" s="119"/>
    </row>
    <row r="22" spans="2:26" x14ac:dyDescent="0.25">
      <c r="B22" s="139"/>
      <c r="C22" s="140"/>
      <c r="D22" s="140"/>
      <c r="E22" s="140"/>
      <c r="F22" s="140"/>
      <c r="G22" s="140"/>
      <c r="H22" s="140"/>
      <c r="I22" s="140"/>
      <c r="J22" s="140"/>
      <c r="K22" s="141" t="s">
        <v>32</v>
      </c>
    </row>
    <row r="23" spans="2:26" x14ac:dyDescent="0.25">
      <c r="B23" s="1"/>
      <c r="C23" s="1"/>
      <c r="D23" s="1"/>
    </row>
    <row r="24" spans="2:26" x14ac:dyDescent="0.25">
      <c r="B24" s="1"/>
      <c r="C24" s="1"/>
      <c r="D24" s="1"/>
      <c r="H24" s="1"/>
      <c r="J24" s="1"/>
      <c r="K24" s="1"/>
      <c r="L24" s="1"/>
      <c r="M24" s="1"/>
    </row>
    <row r="25" spans="2:26" ht="14.45" customHeight="1" x14ac:dyDescent="0.25">
      <c r="B25" s="1"/>
      <c r="C25" s="1"/>
      <c r="D25" s="1"/>
      <c r="H25" s="1"/>
      <c r="J25" s="1"/>
      <c r="K25" s="1"/>
      <c r="L25" s="1"/>
      <c r="M25" s="1"/>
    </row>
    <row r="26" spans="2:26" x14ac:dyDescent="0.25">
      <c r="B26" s="1"/>
      <c r="C26" s="1"/>
      <c r="D26" s="1"/>
      <c r="H26" s="1"/>
      <c r="J26" s="1"/>
      <c r="K26" s="1"/>
      <c r="L26" s="1"/>
      <c r="M26" s="1"/>
      <c r="N26" s="111" t="s">
        <v>113</v>
      </c>
      <c r="O26" s="111" t="s">
        <v>80</v>
      </c>
      <c r="P26" s="111" t="s">
        <v>33</v>
      </c>
      <c r="Q26" s="111" t="s">
        <v>34</v>
      </c>
      <c r="R26" s="111" t="s">
        <v>38</v>
      </c>
      <c r="S26" s="111" t="s">
        <v>79</v>
      </c>
      <c r="T26" s="111" t="s">
        <v>112</v>
      </c>
      <c r="U26" s="111" t="s">
        <v>77</v>
      </c>
      <c r="V26" s="111" t="s">
        <v>78</v>
      </c>
      <c r="W26" s="111" t="s">
        <v>35</v>
      </c>
      <c r="X26" s="111" t="s">
        <v>36</v>
      </c>
      <c r="Y26" s="111" t="s">
        <v>39</v>
      </c>
      <c r="Z26" s="111" t="s">
        <v>125</v>
      </c>
    </row>
    <row r="27" spans="2:26" x14ac:dyDescent="0.25">
      <c r="B27" s="1"/>
      <c r="C27" s="1"/>
      <c r="D27" s="1"/>
      <c r="H27" s="1"/>
      <c r="J27" s="1"/>
      <c r="K27" s="1"/>
      <c r="L27" s="1"/>
      <c r="M27" s="1"/>
      <c r="N27" s="111">
        <v>1</v>
      </c>
      <c r="O27" s="111" t="s">
        <v>23</v>
      </c>
      <c r="P27" s="111" t="s">
        <v>3</v>
      </c>
      <c r="Q27" s="111">
        <v>7</v>
      </c>
      <c r="R27" s="111" t="b">
        <v>0</v>
      </c>
      <c r="S27" s="111">
        <v>0</v>
      </c>
      <c r="T27" s="111" t="s">
        <v>120</v>
      </c>
      <c r="U27" s="111">
        <v>0</v>
      </c>
      <c r="V27" s="111">
        <v>0</v>
      </c>
      <c r="W27" s="111" t="s">
        <v>31</v>
      </c>
      <c r="X27" s="112" t="s">
        <v>91</v>
      </c>
      <c r="Y27" s="111"/>
      <c r="Z27" s="111" t="s">
        <v>127</v>
      </c>
    </row>
    <row r="28" spans="2:26" x14ac:dyDescent="0.25">
      <c r="B28" s="1"/>
      <c r="C28" s="1"/>
      <c r="D28" s="1"/>
      <c r="H28" s="1"/>
      <c r="J28" s="1"/>
      <c r="K28" s="1"/>
      <c r="L28" s="1"/>
      <c r="M28" s="1"/>
      <c r="N28" s="111">
        <v>3</v>
      </c>
      <c r="O28" s="111" t="s">
        <v>98</v>
      </c>
      <c r="P28" s="111" t="s">
        <v>5</v>
      </c>
      <c r="Q28" s="111">
        <v>7</v>
      </c>
      <c r="R28" s="111" t="b">
        <v>0</v>
      </c>
      <c r="S28" s="111">
        <v>0</v>
      </c>
      <c r="T28" s="111" t="s">
        <v>120</v>
      </c>
      <c r="U28" s="111">
        <v>0</v>
      </c>
      <c r="V28" s="111">
        <v>0</v>
      </c>
      <c r="W28" s="111" t="s">
        <v>101</v>
      </c>
      <c r="X28" s="113" t="s">
        <v>107</v>
      </c>
      <c r="Y28" s="111" t="s">
        <v>94</v>
      </c>
      <c r="Z28" s="111" t="s">
        <v>128</v>
      </c>
    </row>
    <row r="29" spans="2:26" x14ac:dyDescent="0.25">
      <c r="C29" s="1"/>
      <c r="D29" s="1"/>
      <c r="H29" s="1"/>
      <c r="J29" s="1"/>
      <c r="K29" s="1"/>
      <c r="L29" s="1"/>
      <c r="M29" s="1"/>
      <c r="N29" s="111">
        <v>2</v>
      </c>
      <c r="O29" s="111" t="s">
        <v>99</v>
      </c>
      <c r="P29" s="111" t="s">
        <v>8</v>
      </c>
      <c r="Q29" s="111">
        <v>7</v>
      </c>
      <c r="R29" s="111" t="b">
        <v>0</v>
      </c>
      <c r="S29" s="111">
        <v>0</v>
      </c>
      <c r="T29" s="111" t="s">
        <v>120</v>
      </c>
      <c r="U29" s="111">
        <v>0</v>
      </c>
      <c r="V29" s="111">
        <v>0</v>
      </c>
      <c r="W29" s="111" t="s">
        <v>102</v>
      </c>
      <c r="X29" s="111" t="s">
        <v>106</v>
      </c>
      <c r="Y29" s="111" t="s">
        <v>95</v>
      </c>
      <c r="Z29" s="111" t="s">
        <v>128</v>
      </c>
    </row>
    <row r="30" spans="2:26" x14ac:dyDescent="0.25">
      <c r="C30" s="1"/>
      <c r="D30" s="1"/>
      <c r="H30" s="1"/>
      <c r="J30" s="1"/>
      <c r="K30" s="1"/>
      <c r="L30" s="1"/>
      <c r="M30" s="1"/>
      <c r="N30" s="111">
        <v>4</v>
      </c>
      <c r="O30" s="111" t="s">
        <v>6</v>
      </c>
      <c r="P30" s="111" t="s">
        <v>2</v>
      </c>
      <c r="Q30" s="111">
        <v>5</v>
      </c>
      <c r="R30" s="111" t="b">
        <v>0</v>
      </c>
      <c r="S30" s="111">
        <v>0</v>
      </c>
      <c r="T30" s="111" t="s">
        <v>120</v>
      </c>
      <c r="U30" s="111">
        <v>0</v>
      </c>
      <c r="V30" s="111">
        <v>0</v>
      </c>
      <c r="W30" s="111" t="s">
        <v>105</v>
      </c>
      <c r="X30" s="111" t="s">
        <v>108</v>
      </c>
      <c r="Y30" s="111" t="s">
        <v>93</v>
      </c>
      <c r="Z30" s="111" t="s">
        <v>126</v>
      </c>
    </row>
    <row r="31" spans="2:26" ht="30" x14ac:dyDescent="0.25">
      <c r="C31" s="1"/>
      <c r="D31" s="1"/>
      <c r="H31" s="1"/>
      <c r="J31" s="1"/>
      <c r="K31" s="1"/>
      <c r="L31" s="1"/>
      <c r="M31" s="1"/>
      <c r="N31" s="111">
        <v>5</v>
      </c>
      <c r="O31" s="111" t="s">
        <v>97</v>
      </c>
      <c r="P31" s="111" t="s">
        <v>1</v>
      </c>
      <c r="Q31" s="111">
        <v>3</v>
      </c>
      <c r="R31" s="111" t="b">
        <v>0</v>
      </c>
      <c r="S31" s="111">
        <v>0</v>
      </c>
      <c r="T31" s="111" t="s">
        <v>120</v>
      </c>
      <c r="U31" s="111">
        <v>0</v>
      </c>
      <c r="V31" s="111">
        <v>0</v>
      </c>
      <c r="W31" s="111" t="s">
        <v>100</v>
      </c>
      <c r="X31" s="114" t="s">
        <v>155</v>
      </c>
      <c r="Y31" s="111"/>
      <c r="Z31" s="111" t="s">
        <v>126</v>
      </c>
    </row>
    <row r="32" spans="2:26" ht="30" x14ac:dyDescent="0.25">
      <c r="C32" s="1"/>
      <c r="D32" s="1"/>
      <c r="H32" s="1"/>
      <c r="J32" s="1"/>
      <c r="K32" s="1"/>
      <c r="L32" s="1"/>
      <c r="M32" s="1"/>
      <c r="N32" s="111">
        <v>6</v>
      </c>
      <c r="O32" s="111" t="s">
        <v>103</v>
      </c>
      <c r="P32" s="111" t="s">
        <v>4</v>
      </c>
      <c r="Q32" s="111">
        <v>8</v>
      </c>
      <c r="R32" s="111" t="b">
        <v>0</v>
      </c>
      <c r="S32" s="111">
        <v>0</v>
      </c>
      <c r="T32" s="111" t="s">
        <v>120</v>
      </c>
      <c r="U32" s="111">
        <v>0</v>
      </c>
      <c r="V32" s="111">
        <v>0</v>
      </c>
      <c r="W32" s="111" t="s">
        <v>104</v>
      </c>
      <c r="X32" s="190" t="s">
        <v>150</v>
      </c>
      <c r="Y32" s="111" t="s">
        <v>92</v>
      </c>
      <c r="Z32" s="111" t="s">
        <v>126</v>
      </c>
    </row>
    <row r="33" spans="3:23" x14ac:dyDescent="0.25">
      <c r="C33" s="1"/>
      <c r="D33" s="1"/>
      <c r="H33" s="1"/>
      <c r="J33" s="1"/>
      <c r="K33" s="1"/>
      <c r="L33" s="1"/>
      <c r="M33" s="1"/>
      <c r="O33" s="1"/>
      <c r="Q33"/>
      <c r="U33" s="1"/>
    </row>
    <row r="34" spans="3:23" x14ac:dyDescent="0.25">
      <c r="C34" s="1"/>
      <c r="D34" s="1"/>
      <c r="H34" s="1"/>
      <c r="J34" s="1"/>
      <c r="K34" s="1"/>
      <c r="L34" s="1"/>
      <c r="M34" s="1"/>
    </row>
    <row r="35" spans="3:23" x14ac:dyDescent="0.25">
      <c r="C35" s="1"/>
      <c r="D35" s="1"/>
      <c r="H35" s="1"/>
      <c r="J35" s="1"/>
      <c r="K35" s="1"/>
      <c r="L35" s="1"/>
      <c r="M35" s="1"/>
      <c r="W35" s="48"/>
    </row>
    <row r="36" spans="3:23" x14ac:dyDescent="0.25">
      <c r="C36" s="1"/>
      <c r="D36" s="1"/>
      <c r="H36" s="1"/>
      <c r="J36" s="1"/>
      <c r="K36" s="1"/>
      <c r="L36" s="1"/>
      <c r="M36" s="1"/>
    </row>
    <row r="37" spans="3:23" x14ac:dyDescent="0.25">
      <c r="C37" s="1"/>
      <c r="D37" s="1"/>
      <c r="H37" s="1"/>
      <c r="J37" s="1"/>
      <c r="K37" s="1"/>
      <c r="L37" s="1"/>
      <c r="M37" s="1"/>
    </row>
    <row r="38" spans="3:23" x14ac:dyDescent="0.25">
      <c r="C38" s="1"/>
      <c r="D38" s="1"/>
      <c r="H38" s="1"/>
      <c r="J38" s="1"/>
      <c r="K38" s="1"/>
      <c r="L38" s="1"/>
      <c r="M38" s="1"/>
    </row>
  </sheetData>
  <mergeCells count="6">
    <mergeCell ref="D11:E16"/>
    <mergeCell ref="B2:K2"/>
    <mergeCell ref="B3:K3"/>
    <mergeCell ref="D9:E9"/>
    <mergeCell ref="H6:I6"/>
    <mergeCell ref="D6:F6"/>
  </mergeCells>
  <conditionalFormatting sqref="D6:I16">
    <cfRule type="expression" dxfId="27" priority="9">
      <formula>$Q$5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b_Exit">
          <controlPr defaultSize="0" autoLine="0" r:id="rId5">
            <anchor moveWithCells="1">
              <from>
                <xdr:col>7</xdr:col>
                <xdr:colOff>76200</xdr:colOff>
                <xdr:row>19</xdr:row>
                <xdr:rowOff>514350</xdr:rowOff>
              </from>
              <to>
                <xdr:col>10</xdr:col>
                <xdr:colOff>304800</xdr:colOff>
                <xdr:row>20</xdr:row>
                <xdr:rowOff>104775</xdr:rowOff>
              </to>
            </anchor>
          </controlPr>
        </control>
      </mc:Choice>
      <mc:Fallback>
        <control shapeId="2057" r:id="rId4" name="b_Exit"/>
      </mc:Fallback>
    </mc:AlternateContent>
    <mc:AlternateContent xmlns:mc="http://schemas.openxmlformats.org/markup-compatibility/2006">
      <mc:Choice Requires="x14">
        <control shapeId="2056" r:id="rId6" name="b_Reset">
          <controlPr defaultSize="0" autoLine="0" r:id="rId7">
            <anchor moveWithCells="1">
              <from>
                <xdr:col>5</xdr:col>
                <xdr:colOff>133350</xdr:colOff>
                <xdr:row>19</xdr:row>
                <xdr:rowOff>514350</xdr:rowOff>
              </from>
              <to>
                <xdr:col>6</xdr:col>
                <xdr:colOff>981075</xdr:colOff>
                <xdr:row>20</xdr:row>
                <xdr:rowOff>114300</xdr:rowOff>
              </to>
            </anchor>
          </controlPr>
        </control>
      </mc:Choice>
      <mc:Fallback>
        <control shapeId="2056" r:id="rId6" name="b_Reset"/>
      </mc:Fallback>
    </mc:AlternateContent>
    <mc:AlternateContent xmlns:mc="http://schemas.openxmlformats.org/markup-compatibility/2006">
      <mc:Choice Requires="x14">
        <control shapeId="2055" r:id="rId8" name="b_about">
          <controlPr defaultSize="0" autoLine="0" r:id="rId9">
            <anchor moveWithCells="1">
              <from>
                <xdr:col>3</xdr:col>
                <xdr:colOff>857250</xdr:colOff>
                <xdr:row>19</xdr:row>
                <xdr:rowOff>514350</xdr:rowOff>
              </from>
              <to>
                <xdr:col>4</xdr:col>
                <xdr:colOff>771525</xdr:colOff>
                <xdr:row>20</xdr:row>
                <xdr:rowOff>114300</xdr:rowOff>
              </to>
            </anchor>
          </controlPr>
        </control>
      </mc:Choice>
      <mc:Fallback>
        <control shapeId="2055" r:id="rId8" name="b_about"/>
      </mc:Fallback>
    </mc:AlternateContent>
    <mc:AlternateContent xmlns:mc="http://schemas.openxmlformats.org/markup-compatibility/2006">
      <mc:Choice Requires="x14">
        <control shapeId="2051" r:id="rId10" name="ClassPicker">
          <controlPr defaultSize="0" autoLine="0" autoPict="0" linkedCell="Q3" r:id="rId11">
            <anchor moveWithCells="1">
              <from>
                <xdr:col>10</xdr:col>
                <xdr:colOff>9525</xdr:colOff>
                <xdr:row>3</xdr:row>
                <xdr:rowOff>114300</xdr:rowOff>
              </from>
              <to>
                <xdr:col>10</xdr:col>
                <xdr:colOff>314325</xdr:colOff>
                <xdr:row>16</xdr:row>
                <xdr:rowOff>190500</xdr:rowOff>
              </to>
            </anchor>
          </controlPr>
        </control>
      </mc:Choice>
      <mc:Fallback>
        <control shapeId="2051" r:id="rId10" name="ClassPicker"/>
      </mc:Fallback>
    </mc:AlternateContent>
    <mc:AlternateContent xmlns:mc="http://schemas.openxmlformats.org/markup-compatibility/2006">
      <mc:Choice Requires="x14">
        <control shapeId="2053" r:id="rId12" name="b_play">
          <controlPr defaultSize="0" autoLine="0" r:id="rId13">
            <anchor moveWithCells="1">
              <from>
                <xdr:col>3</xdr:col>
                <xdr:colOff>981075</xdr:colOff>
                <xdr:row>18</xdr:row>
                <xdr:rowOff>19050</xdr:rowOff>
              </from>
              <to>
                <xdr:col>6</xdr:col>
                <xdr:colOff>904875</xdr:colOff>
                <xdr:row>19</xdr:row>
                <xdr:rowOff>266700</xdr:rowOff>
              </to>
            </anchor>
          </controlPr>
        </control>
      </mc:Choice>
      <mc:Fallback>
        <control shapeId="2053" r:id="rId12" name="b_play"/>
      </mc:Fallback>
    </mc:AlternateContent>
    <mc:AlternateContent xmlns:mc="http://schemas.openxmlformats.org/markup-compatibility/2006">
      <mc:Choice Requires="x14">
        <control shapeId="2054" r:id="rId14" name="b_help">
          <controlPr defaultSize="0" autoLine="0" r:id="rId15">
            <anchor moveWithCells="1">
              <from>
                <xdr:col>1</xdr:col>
                <xdr:colOff>895350</xdr:colOff>
                <xdr:row>19</xdr:row>
                <xdr:rowOff>514350</xdr:rowOff>
              </from>
              <to>
                <xdr:col>3</xdr:col>
                <xdr:colOff>647700</xdr:colOff>
                <xdr:row>20</xdr:row>
                <xdr:rowOff>114300</xdr:rowOff>
              </to>
            </anchor>
          </controlPr>
        </control>
      </mc:Choice>
      <mc:Fallback>
        <control shapeId="2054" r:id="rId14" name="b_help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/>
  </sheetPr>
  <dimension ref="A1:BK29"/>
  <sheetViews>
    <sheetView showGridLines="0" topLeftCell="B2" zoomScale="115" zoomScaleNormal="115" workbookViewId="0">
      <pane xSplit="7" ySplit="4" topLeftCell="I6" activePane="bottomRight" state="frozen"/>
      <selection activeCell="B2" sqref="B2"/>
      <selection pane="topRight" activeCell="I2" sqref="I2"/>
      <selection pane="bottomLeft" activeCell="B6" sqref="B6"/>
      <selection pane="bottomRight" activeCell="AC22" sqref="AC22"/>
    </sheetView>
  </sheetViews>
  <sheetFormatPr defaultColWidth="0" defaultRowHeight="15" x14ac:dyDescent="0.25"/>
  <cols>
    <col min="1" max="1" width="0.42578125" style="1" hidden="1" customWidth="1"/>
    <col min="2" max="2" width="1.5703125" style="93" customWidth="1"/>
    <col min="3" max="3" width="1.140625" style="1" customWidth="1"/>
    <col min="4" max="4" width="4.42578125" style="1" customWidth="1"/>
    <col min="5" max="5" width="5.7109375" style="1" customWidth="1"/>
    <col min="6" max="6" width="16" style="1" customWidth="1"/>
    <col min="7" max="7" width="3.140625" style="1" customWidth="1"/>
    <col min="8" max="9" width="2" style="1" customWidth="1"/>
    <col min="10" max="13" width="3.140625" customWidth="1"/>
    <col min="14" max="28" width="3.140625" style="1" customWidth="1"/>
    <col min="29" max="44" width="3.140625" customWidth="1"/>
    <col min="45" max="45" width="2.42578125" customWidth="1"/>
    <col min="46" max="46" width="23.28515625" style="1" hidden="1" customWidth="1"/>
    <col min="47" max="47" width="7" style="1" hidden="1" customWidth="1"/>
    <col min="48" max="48" width="16" style="1" hidden="1" customWidth="1"/>
    <col min="49" max="49" width="7.85546875" style="1" hidden="1" customWidth="1"/>
    <col min="50" max="50" width="9.42578125" style="1" hidden="1" customWidth="1"/>
    <col min="51" max="51" width="7.7109375" style="1" hidden="1" customWidth="1"/>
    <col min="52" max="52" width="9.140625" style="1" hidden="1" customWidth="1"/>
    <col min="53" max="53" width="8.28515625" style="1" hidden="1" customWidth="1"/>
    <col min="54" max="54" width="8.5703125" style="1" hidden="1" customWidth="1"/>
    <col min="55" max="55" width="5.140625" style="1" hidden="1" customWidth="1"/>
    <col min="56" max="56" width="8.140625" style="1" hidden="1" customWidth="1"/>
    <col min="57" max="57" width="11.5703125" style="1" hidden="1" customWidth="1"/>
    <col min="58" max="58" width="20.42578125" style="1" hidden="1" customWidth="1"/>
    <col min="59" max="59" width="19.5703125" style="1" hidden="1" customWidth="1"/>
    <col min="60" max="60" width="6.7109375" style="1" hidden="1" customWidth="1"/>
    <col min="61" max="61" width="8.7109375" style="1" hidden="1" customWidth="1"/>
    <col min="62" max="62" width="7.28515625" style="1" hidden="1" customWidth="1"/>
    <col min="63" max="16384" width="3.28515625" hidden="1"/>
  </cols>
  <sheetData>
    <row r="1" spans="1:63" s="1" customFormat="1" ht="3" hidden="1" customHeight="1" x14ac:dyDescent="0.25">
      <c r="B1" s="9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</row>
    <row r="2" spans="1:63" s="1" customFormat="1" ht="5.45" customHeight="1" x14ac:dyDescent="0.25">
      <c r="B2" s="93"/>
      <c r="H2" s="3"/>
      <c r="I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</row>
    <row r="3" spans="1:63" s="1" customFormat="1" ht="8.25" customHeight="1" x14ac:dyDescent="0.4">
      <c r="B3" s="93"/>
      <c r="C3" s="73"/>
      <c r="D3" s="75"/>
      <c r="E3" s="73"/>
      <c r="F3" s="73"/>
      <c r="G3" s="76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67"/>
      <c r="AE3" s="77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V3" s="3"/>
    </row>
    <row r="4" spans="1:63" s="1" customFormat="1" ht="14.45" customHeight="1" x14ac:dyDescent="0.25">
      <c r="B4" s="93"/>
      <c r="C4" s="251" t="s">
        <v>22</v>
      </c>
      <c r="D4" s="251"/>
      <c r="E4" s="251"/>
      <c r="F4" s="251"/>
      <c r="G4" s="251"/>
      <c r="H4" s="73"/>
      <c r="I4" s="73"/>
      <c r="J4" s="73"/>
      <c r="K4" s="73"/>
      <c r="L4" s="73"/>
      <c r="M4" s="254"/>
      <c r="N4" s="255"/>
      <c r="O4" s="255"/>
      <c r="P4" s="255"/>
      <c r="Q4" s="255"/>
      <c r="R4" s="255"/>
      <c r="S4" s="255"/>
      <c r="T4" s="255"/>
      <c r="U4" s="73"/>
      <c r="V4" s="73"/>
      <c r="W4" s="73"/>
      <c r="X4" s="73"/>
      <c r="Y4" s="73"/>
      <c r="Z4" s="73"/>
      <c r="AA4" s="73"/>
      <c r="AB4" s="73"/>
      <c r="AC4" s="73"/>
      <c r="AD4" s="77"/>
      <c r="AE4" s="77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63" s="1" customFormat="1" x14ac:dyDescent="0.25">
      <c r="B5" s="93"/>
      <c r="C5" s="251"/>
      <c r="D5" s="251"/>
      <c r="E5" s="251"/>
      <c r="F5" s="251"/>
      <c r="G5" s="251"/>
      <c r="H5" s="73"/>
      <c r="I5" s="73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V5" s="3" t="s">
        <v>24</v>
      </c>
      <c r="BG5" s="1" t="s">
        <v>65</v>
      </c>
    </row>
    <row r="6" spans="1:63" s="1" customFormat="1" ht="11.25" customHeight="1" thickBot="1" x14ac:dyDescent="0.3">
      <c r="B6" s="96"/>
      <c r="C6" s="8"/>
      <c r="D6" s="8"/>
      <c r="E6" s="8"/>
      <c r="F6" s="8"/>
      <c r="G6" s="67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3"/>
      <c r="AV6" s="1" t="s">
        <v>0</v>
      </c>
      <c r="AW6" s="1" t="s">
        <v>17</v>
      </c>
      <c r="AX6" s="1" t="s">
        <v>18</v>
      </c>
      <c r="AY6" s="1" t="s">
        <v>19</v>
      </c>
      <c r="AZ6" s="1" t="s">
        <v>121</v>
      </c>
      <c r="BA6" s="1" t="s">
        <v>123</v>
      </c>
      <c r="BB6" s="1" t="s">
        <v>20</v>
      </c>
      <c r="BC6" s="1" t="s">
        <v>122</v>
      </c>
      <c r="BD6" s="1" t="s">
        <v>124</v>
      </c>
      <c r="BE6" s="1" t="s">
        <v>96</v>
      </c>
      <c r="BG6" s="1" t="s">
        <v>66</v>
      </c>
      <c r="BH6" s="1" t="s">
        <v>17</v>
      </c>
      <c r="BI6" s="1" t="s">
        <v>18</v>
      </c>
      <c r="BJ6" s="1" t="s">
        <v>19</v>
      </c>
    </row>
    <row r="7" spans="1:63" ht="16.5" customHeight="1" thickTop="1" thickBot="1" x14ac:dyDescent="0.3">
      <c r="B7" s="97"/>
      <c r="C7" s="146"/>
      <c r="D7" s="147"/>
      <c r="E7" s="147"/>
      <c r="F7" s="148"/>
      <c r="G7" s="149"/>
      <c r="H7" s="8"/>
      <c r="I7" s="8"/>
      <c r="J7" s="192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82"/>
      <c r="AM7" s="164"/>
      <c r="AN7" s="164"/>
      <c r="AO7" s="164"/>
      <c r="AP7" s="164"/>
      <c r="AQ7" s="164"/>
      <c r="AR7" s="183"/>
      <c r="AS7" s="3"/>
      <c r="AT7" s="2"/>
      <c r="AU7" s="2"/>
      <c r="AV7" s="95">
        <v>1</v>
      </c>
      <c r="AW7" s="5">
        <v>241</v>
      </c>
      <c r="AX7" s="5">
        <v>235</v>
      </c>
      <c r="AY7" s="5">
        <v>177</v>
      </c>
      <c r="AZ7" s="5">
        <v>60</v>
      </c>
      <c r="BA7" s="11">
        <v>0</v>
      </c>
      <c r="BB7" s="5">
        <v>5</v>
      </c>
      <c r="BC7" s="63" t="s">
        <v>9</v>
      </c>
      <c r="BD7" s="5">
        <v>100</v>
      </c>
      <c r="BE7" s="1" t="s">
        <v>21</v>
      </c>
      <c r="BG7" s="5" t="s">
        <v>67</v>
      </c>
      <c r="BH7" s="5">
        <v>191</v>
      </c>
      <c r="BI7" s="5">
        <v>191</v>
      </c>
      <c r="BJ7" s="5">
        <v>191</v>
      </c>
      <c r="BK7" s="1"/>
    </row>
    <row r="8" spans="1:63" ht="16.5" customHeight="1" thickTop="1" thickBot="1" x14ac:dyDescent="0.3">
      <c r="A8" s="23"/>
      <c r="B8" s="97"/>
      <c r="C8" s="150"/>
      <c r="D8" s="245" t="s">
        <v>162</v>
      </c>
      <c r="E8" s="246"/>
      <c r="F8" s="151" t="s">
        <v>103</v>
      </c>
      <c r="G8" s="152"/>
      <c r="H8" s="8"/>
      <c r="I8" s="8"/>
      <c r="J8" s="181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  <c r="AH8" s="178"/>
      <c r="AI8" s="178"/>
      <c r="AJ8" s="178"/>
      <c r="AK8" s="178"/>
      <c r="AL8" s="178"/>
      <c r="AM8" s="178"/>
      <c r="AN8" s="178"/>
      <c r="AO8" s="178"/>
      <c r="AP8" s="178"/>
      <c r="AQ8" s="178"/>
      <c r="AR8" s="184"/>
      <c r="AS8" s="3"/>
      <c r="AV8" s="14">
        <v>2</v>
      </c>
      <c r="AW8" s="5">
        <v>222</v>
      </c>
      <c r="AX8" s="5">
        <v>207</v>
      </c>
      <c r="AY8" s="5">
        <v>63</v>
      </c>
      <c r="AZ8" s="5">
        <v>45</v>
      </c>
      <c r="BA8" s="11">
        <v>0.4</v>
      </c>
      <c r="BB8" s="5">
        <v>10</v>
      </c>
      <c r="BC8" s="64" t="s">
        <v>14</v>
      </c>
      <c r="BD8" s="5">
        <v>300</v>
      </c>
      <c r="BE8" s="1" t="s">
        <v>50</v>
      </c>
      <c r="BG8" s="5" t="s">
        <v>68</v>
      </c>
      <c r="BH8" s="5">
        <v>217</v>
      </c>
      <c r="BI8" s="5">
        <v>217</v>
      </c>
      <c r="BJ8" s="5">
        <v>217</v>
      </c>
      <c r="BK8" s="1"/>
    </row>
    <row r="9" spans="1:63" ht="16.5" customHeight="1" thickTop="1" thickBot="1" x14ac:dyDescent="0.3">
      <c r="B9" s="97"/>
      <c r="C9" s="150"/>
      <c r="D9" s="247"/>
      <c r="E9" s="248"/>
      <c r="F9" s="153" t="s">
        <v>160</v>
      </c>
      <c r="G9" s="152"/>
      <c r="H9" s="8"/>
      <c r="I9" s="8"/>
      <c r="J9" s="180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  <c r="AA9" s="178"/>
      <c r="AB9" s="178"/>
      <c r="AC9" s="178"/>
      <c r="AD9" s="178"/>
      <c r="AE9" s="178"/>
      <c r="AF9" s="178"/>
      <c r="AG9" s="178"/>
      <c r="AH9" s="178"/>
      <c r="AI9" s="178"/>
      <c r="AJ9" s="178"/>
      <c r="AK9" s="178"/>
      <c r="AL9" s="178"/>
      <c r="AM9" s="178"/>
      <c r="AN9" s="178"/>
      <c r="AO9" s="178"/>
      <c r="AP9" s="178"/>
      <c r="AQ9" s="178"/>
      <c r="AR9" s="184"/>
      <c r="AS9" s="3"/>
      <c r="AV9" s="7">
        <v>3</v>
      </c>
      <c r="AW9" s="5">
        <v>250</v>
      </c>
      <c r="AX9" s="5">
        <v>164</v>
      </c>
      <c r="AY9" s="5">
        <v>58</v>
      </c>
      <c r="AZ9" s="5">
        <v>20</v>
      </c>
      <c r="BA9" s="11">
        <v>0.7</v>
      </c>
      <c r="BB9" s="5">
        <v>15</v>
      </c>
      <c r="BC9" s="62" t="s">
        <v>12</v>
      </c>
      <c r="BD9" s="5">
        <v>400</v>
      </c>
      <c r="BE9" s="1" t="s">
        <v>51</v>
      </c>
      <c r="BG9" s="5" t="s">
        <v>69</v>
      </c>
      <c r="BH9" s="5">
        <v>255</v>
      </c>
      <c r="BI9" s="5">
        <v>255</v>
      </c>
      <c r="BJ9" s="5">
        <v>255</v>
      </c>
      <c r="BK9" s="1"/>
    </row>
    <row r="10" spans="1:63" ht="16.5" thickTop="1" thickBot="1" x14ac:dyDescent="0.3">
      <c r="B10" s="97"/>
      <c r="C10" s="150"/>
      <c r="D10" s="249"/>
      <c r="E10" s="250"/>
      <c r="F10" s="154" t="s">
        <v>104</v>
      </c>
      <c r="G10" s="155"/>
      <c r="H10" s="8"/>
      <c r="I10" s="8"/>
      <c r="J10" s="180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84"/>
      <c r="AS10" s="3"/>
      <c r="AV10" s="6">
        <v>4</v>
      </c>
      <c r="AW10" s="5">
        <v>241</v>
      </c>
      <c r="AX10" s="5">
        <v>88</v>
      </c>
      <c r="AY10" s="5">
        <v>84</v>
      </c>
      <c r="AZ10" s="5">
        <v>15</v>
      </c>
      <c r="BA10" s="11">
        <v>0.85</v>
      </c>
      <c r="BB10" s="5">
        <v>20</v>
      </c>
      <c r="BC10" s="65" t="s">
        <v>10</v>
      </c>
      <c r="BD10" s="5">
        <v>500</v>
      </c>
      <c r="BE10" s="1" t="s">
        <v>52</v>
      </c>
      <c r="BG10" s="5" t="s">
        <v>75</v>
      </c>
      <c r="BH10" s="5">
        <v>242</v>
      </c>
      <c r="BI10" s="5">
        <v>242</v>
      </c>
      <c r="BJ10" s="5">
        <v>242</v>
      </c>
      <c r="BK10" s="1"/>
    </row>
    <row r="11" spans="1:63" ht="16.5" thickTop="1" thickBot="1" x14ac:dyDescent="0.3">
      <c r="B11" s="97"/>
      <c r="C11" s="150"/>
      <c r="D11" s="156"/>
      <c r="E11" s="156"/>
      <c r="F11" s="156"/>
      <c r="G11" s="152"/>
      <c r="H11" s="8"/>
      <c r="I11" s="8"/>
      <c r="J11" s="180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84"/>
      <c r="AS11" s="3"/>
      <c r="AV11" s="61">
        <v>5</v>
      </c>
      <c r="AW11" s="5">
        <v>150</v>
      </c>
      <c r="AX11" s="5">
        <v>15</v>
      </c>
      <c r="AY11" s="5">
        <v>12</v>
      </c>
      <c r="AZ11" s="5">
        <v>3</v>
      </c>
      <c r="BA11" s="11">
        <v>0.95</v>
      </c>
      <c r="BB11" s="5">
        <v>30</v>
      </c>
      <c r="BC11" s="110" t="s">
        <v>13</v>
      </c>
      <c r="BD11" s="5">
        <v>10000000</v>
      </c>
      <c r="BE11" s="1" t="s">
        <v>53</v>
      </c>
      <c r="BG11" s="5" t="s">
        <v>70</v>
      </c>
      <c r="BH11" s="5">
        <v>242</v>
      </c>
      <c r="BI11" s="5">
        <v>242</v>
      </c>
      <c r="BJ11" s="5">
        <v>242</v>
      </c>
      <c r="BK11" s="1"/>
    </row>
    <row r="12" spans="1:63" ht="16.5" thickTop="1" thickBot="1" x14ac:dyDescent="0.3">
      <c r="B12" s="97"/>
      <c r="C12" s="150"/>
      <c r="D12" s="157" t="s">
        <v>29</v>
      </c>
      <c r="E12" s="156"/>
      <c r="F12" s="158">
        <v>8</v>
      </c>
      <c r="G12" s="155"/>
      <c r="H12" s="8"/>
      <c r="I12" s="8"/>
      <c r="J12" s="180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84"/>
      <c r="AS12" s="3"/>
      <c r="BG12" s="5" t="s">
        <v>71</v>
      </c>
      <c r="BH12" s="5">
        <v>241</v>
      </c>
      <c r="BI12" s="5">
        <v>88</v>
      </c>
      <c r="BJ12" s="5">
        <v>84</v>
      </c>
      <c r="BK12" s="1"/>
    </row>
    <row r="13" spans="1:63" ht="16.5" thickTop="1" thickBot="1" x14ac:dyDescent="0.3">
      <c r="B13" s="97"/>
      <c r="C13" s="150"/>
      <c r="D13" s="252" t="s">
        <v>161</v>
      </c>
      <c r="E13" s="253"/>
      <c r="F13" s="158">
        <v>0</v>
      </c>
      <c r="G13" s="155"/>
      <c r="H13" s="8"/>
      <c r="I13" s="8"/>
      <c r="J13" s="180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84"/>
      <c r="AS13" s="3"/>
      <c r="BG13" s="5" t="s">
        <v>72</v>
      </c>
      <c r="BH13" s="5">
        <v>235</v>
      </c>
      <c r="BI13" s="5">
        <v>225</v>
      </c>
      <c r="BJ13" s="5">
        <v>119</v>
      </c>
      <c r="BK13" s="1"/>
    </row>
    <row r="14" spans="1:63" ht="16.5" thickTop="1" thickBot="1" x14ac:dyDescent="0.3">
      <c r="B14" s="97"/>
      <c r="C14" s="159"/>
      <c r="D14" s="256" t="s">
        <v>62</v>
      </c>
      <c r="E14" s="256"/>
      <c r="F14" s="160">
        <v>58</v>
      </c>
      <c r="G14" s="152"/>
      <c r="H14" s="8"/>
      <c r="I14" s="8"/>
      <c r="J14" s="180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84"/>
      <c r="AS14" s="3"/>
      <c r="AV14" s="3" t="s">
        <v>25</v>
      </c>
      <c r="BD14" s="5">
        <v>100</v>
      </c>
      <c r="BG14" s="5" t="s">
        <v>73</v>
      </c>
      <c r="BH14" s="5">
        <v>93</v>
      </c>
      <c r="BI14" s="5">
        <v>165</v>
      </c>
      <c r="BJ14" s="5">
        <v>218</v>
      </c>
      <c r="BK14" s="1"/>
    </row>
    <row r="15" spans="1:63" ht="16.5" thickTop="1" thickBot="1" x14ac:dyDescent="0.3">
      <c r="B15" s="97"/>
      <c r="C15" s="161"/>
      <c r="D15" s="162"/>
      <c r="E15" s="162"/>
      <c r="F15" s="162"/>
      <c r="G15" s="163"/>
      <c r="H15" s="8"/>
      <c r="I15" s="8"/>
      <c r="J15" s="180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8"/>
      <c r="AK15" s="178"/>
      <c r="AL15" s="178"/>
      <c r="AM15" s="178"/>
      <c r="AN15" s="178"/>
      <c r="AO15" s="178"/>
      <c r="AP15" s="178"/>
      <c r="AQ15" s="178"/>
      <c r="AR15" s="184"/>
      <c r="AS15" s="3"/>
      <c r="AV15" s="111">
        <v>8</v>
      </c>
      <c r="BD15" s="5">
        <v>300</v>
      </c>
      <c r="BG15" s="5" t="s">
        <v>74</v>
      </c>
      <c r="BH15" s="5">
        <v>0</v>
      </c>
      <c r="BI15" s="5">
        <v>0</v>
      </c>
      <c r="BJ15" s="5">
        <v>0</v>
      </c>
      <c r="BK15" s="1"/>
    </row>
    <row r="16" spans="1:63" ht="16.5" thickTop="1" thickBot="1" x14ac:dyDescent="0.3">
      <c r="A16" s="93"/>
      <c r="B16" s="98"/>
      <c r="C16" s="93"/>
      <c r="D16" s="93"/>
      <c r="E16" s="93"/>
      <c r="F16" s="93"/>
      <c r="G16" s="73"/>
      <c r="H16" s="8"/>
      <c r="I16" s="8"/>
      <c r="J16" s="180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84"/>
      <c r="AS16" s="3"/>
      <c r="AV16" s="111">
        <v>300</v>
      </c>
      <c r="BD16" s="5">
        <v>400</v>
      </c>
      <c r="BK16" s="1"/>
    </row>
    <row r="17" spans="2:63" ht="16.5" thickTop="1" thickBot="1" x14ac:dyDescent="0.3">
      <c r="B17" s="97"/>
      <c r="C17" s="78" t="s">
        <v>58</v>
      </c>
      <c r="D17" s="79"/>
      <c r="E17" s="79"/>
      <c r="F17" s="79"/>
      <c r="G17" s="80"/>
      <c r="H17" s="8"/>
      <c r="I17" s="8"/>
      <c r="J17" s="180"/>
      <c r="K17" s="178"/>
      <c r="L17" s="178"/>
      <c r="M17" s="179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178"/>
      <c r="AG17" s="178"/>
      <c r="AH17" s="178"/>
      <c r="AI17" s="178"/>
      <c r="AJ17" s="178"/>
      <c r="AK17" s="178"/>
      <c r="AL17" s="178"/>
      <c r="AM17" s="178"/>
      <c r="AN17" s="178"/>
      <c r="AO17" s="178"/>
      <c r="AP17" s="178"/>
      <c r="AQ17" s="179"/>
      <c r="AR17" s="184"/>
      <c r="AS17" s="3"/>
      <c r="BD17" s="5">
        <v>500</v>
      </c>
      <c r="BK17" s="1"/>
    </row>
    <row r="18" spans="2:63" ht="16.5" thickTop="1" thickBot="1" x14ac:dyDescent="0.3">
      <c r="B18" s="97"/>
      <c r="C18" s="89"/>
      <c r="D18" s="91"/>
      <c r="E18" s="91"/>
      <c r="F18" s="90"/>
      <c r="G18" s="92"/>
      <c r="H18" s="8"/>
      <c r="I18" s="8"/>
      <c r="J18" s="180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  <c r="AG18" s="178"/>
      <c r="AH18" s="178"/>
      <c r="AI18" s="178"/>
      <c r="AJ18" s="178"/>
      <c r="AK18" s="178"/>
      <c r="AL18" s="178"/>
      <c r="AM18" s="178"/>
      <c r="AN18" s="178"/>
      <c r="AO18" s="178"/>
      <c r="AP18" s="178"/>
      <c r="AQ18" s="178"/>
      <c r="AR18" s="184"/>
      <c r="AS18" s="3"/>
      <c r="AV18" s="3" t="s">
        <v>28</v>
      </c>
      <c r="BK18" s="1"/>
    </row>
    <row r="19" spans="2:63" ht="16.5" thickTop="1" thickBot="1" x14ac:dyDescent="0.3">
      <c r="B19" s="97"/>
      <c r="C19" s="81"/>
      <c r="D19" s="94" t="s">
        <v>9</v>
      </c>
      <c r="E19" s="15" t="s">
        <v>59</v>
      </c>
      <c r="F19" s="72" t="str">
        <f>BE7</f>
        <v>Bat</v>
      </c>
      <c r="G19" s="82"/>
      <c r="H19" s="8"/>
      <c r="I19" s="8"/>
      <c r="J19" s="180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6"/>
      <c r="X19" s="176"/>
      <c r="Y19" s="178"/>
      <c r="Z19" s="176"/>
      <c r="AA19" s="176"/>
      <c r="AB19" s="176"/>
      <c r="AC19" s="178"/>
      <c r="AD19" s="178"/>
      <c r="AE19" s="178"/>
      <c r="AF19" s="178"/>
      <c r="AG19" s="178"/>
      <c r="AH19" s="178"/>
      <c r="AI19" s="178"/>
      <c r="AJ19" s="178"/>
      <c r="AK19" s="178"/>
      <c r="AL19" s="178"/>
      <c r="AM19" s="178"/>
      <c r="AN19" s="178"/>
      <c r="AO19" s="178"/>
      <c r="AP19" s="178"/>
      <c r="AQ19" s="178"/>
      <c r="AR19" s="184"/>
      <c r="AS19" s="3"/>
      <c r="AV19" s="1" t="s">
        <v>26</v>
      </c>
      <c r="AW19" s="12">
        <v>35</v>
      </c>
      <c r="BK19" s="1"/>
    </row>
    <row r="20" spans="2:63" ht="16.5" thickTop="1" thickBot="1" x14ac:dyDescent="0.3">
      <c r="B20" s="97"/>
      <c r="C20" s="81"/>
      <c r="D20" s="68" t="s">
        <v>14</v>
      </c>
      <c r="E20" s="15" t="s">
        <v>60</v>
      </c>
      <c r="F20" s="72" t="str">
        <f t="shared" ref="F20:F23" si="0">BE8</f>
        <v>Zombie</v>
      </c>
      <c r="G20" s="82"/>
      <c r="H20" s="8"/>
      <c r="I20" s="8"/>
      <c r="J20" s="180"/>
      <c r="K20" s="178"/>
      <c r="L20" s="178"/>
      <c r="M20" s="178"/>
      <c r="N20" s="178"/>
      <c r="O20" s="178"/>
      <c r="P20" s="178"/>
      <c r="Q20" s="178"/>
      <c r="R20" s="178"/>
      <c r="S20" s="178"/>
      <c r="T20" s="176"/>
      <c r="U20" s="176"/>
      <c r="V20" s="217"/>
      <c r="W20" s="200">
        <v>2</v>
      </c>
      <c r="X20" s="202">
        <v>4</v>
      </c>
      <c r="Y20" s="213"/>
      <c r="Z20" s="200">
        <v>4</v>
      </c>
      <c r="AA20" s="201">
        <v>2</v>
      </c>
      <c r="AB20" s="202">
        <v>4</v>
      </c>
      <c r="AC20" s="205"/>
      <c r="AD20" s="176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8"/>
      <c r="AP20" s="178"/>
      <c r="AQ20" s="178"/>
      <c r="AR20" s="184"/>
      <c r="AS20" s="3"/>
      <c r="AV20" s="1" t="s">
        <v>27</v>
      </c>
      <c r="AW20" s="12">
        <v>20</v>
      </c>
      <c r="BK20" s="1"/>
    </row>
    <row r="21" spans="2:63" ht="16.5" thickTop="1" thickBot="1" x14ac:dyDescent="0.3">
      <c r="B21" s="97"/>
      <c r="C21" s="81"/>
      <c r="D21" s="69" t="s">
        <v>12</v>
      </c>
      <c r="E21" s="15" t="s">
        <v>54</v>
      </c>
      <c r="F21" s="72" t="str">
        <f t="shared" si="0"/>
        <v>Skeleton</v>
      </c>
      <c r="G21" s="82"/>
      <c r="H21" s="8"/>
      <c r="I21" s="8"/>
      <c r="J21" s="180"/>
      <c r="K21" s="179"/>
      <c r="L21" s="178"/>
      <c r="M21" s="178"/>
      <c r="N21" s="178"/>
      <c r="O21" s="178"/>
      <c r="P21" s="178"/>
      <c r="Q21" s="178"/>
      <c r="R21" s="178"/>
      <c r="S21" s="175"/>
      <c r="T21" s="204">
        <v>3</v>
      </c>
      <c r="U21" s="201">
        <v>2</v>
      </c>
      <c r="V21" s="228" t="s">
        <v>9</v>
      </c>
      <c r="W21" s="203">
        <v>1</v>
      </c>
      <c r="X21" s="206">
        <v>3</v>
      </c>
      <c r="Y21" s="195">
        <v>3</v>
      </c>
      <c r="Z21" s="203">
        <v>3</v>
      </c>
      <c r="AA21" s="198">
        <v>1</v>
      </c>
      <c r="AB21" s="226" t="s">
        <v>9</v>
      </c>
      <c r="AC21" s="201">
        <v>3</v>
      </c>
      <c r="AD21" s="216">
        <v>2</v>
      </c>
      <c r="AE21" s="177"/>
      <c r="AF21" s="178"/>
      <c r="AG21" s="178"/>
      <c r="AH21" s="178"/>
      <c r="AI21" s="178"/>
      <c r="AJ21" s="178"/>
      <c r="AK21" s="178"/>
      <c r="AL21" s="178"/>
      <c r="AM21" s="178"/>
      <c r="AN21" s="178"/>
      <c r="AO21" s="178"/>
      <c r="AP21" s="178"/>
      <c r="AQ21" s="178"/>
      <c r="AR21" s="184"/>
      <c r="AS21" s="3"/>
      <c r="AV21" s="1" t="s">
        <v>16</v>
      </c>
      <c r="AW21" s="1">
        <f>AW19*AW20</f>
        <v>700</v>
      </c>
      <c r="BK21" s="1"/>
    </row>
    <row r="22" spans="2:63" ht="16.5" thickTop="1" thickBot="1" x14ac:dyDescent="0.3">
      <c r="B22" s="97"/>
      <c r="C22" s="81"/>
      <c r="D22" s="70" t="s">
        <v>10</v>
      </c>
      <c r="E22" s="15" t="s">
        <v>55</v>
      </c>
      <c r="F22" s="72" t="str">
        <f t="shared" si="0"/>
        <v>Ghost</v>
      </c>
      <c r="G22" s="82"/>
      <c r="H22" s="8"/>
      <c r="I22" s="8"/>
      <c r="J22" s="180"/>
      <c r="K22" s="178"/>
      <c r="L22" s="178"/>
      <c r="M22" s="178"/>
      <c r="N22" s="178"/>
      <c r="O22" s="178"/>
      <c r="P22" s="178"/>
      <c r="Q22" s="178"/>
      <c r="R22" s="178"/>
      <c r="S22" s="175"/>
      <c r="T22" s="207">
        <v>2</v>
      </c>
      <c r="U22" s="203">
        <v>1</v>
      </c>
      <c r="V22" s="198">
        <v>1</v>
      </c>
      <c r="W22" s="193">
        <v>2</v>
      </c>
      <c r="X22" s="193">
        <v>1</v>
      </c>
      <c r="Y22" s="198">
        <v>1</v>
      </c>
      <c r="Z22" s="193">
        <v>0</v>
      </c>
      <c r="AA22" s="199">
        <v>1</v>
      </c>
      <c r="AB22" s="193">
        <v>1</v>
      </c>
      <c r="AC22" s="206">
        <v>1</v>
      </c>
      <c r="AD22" s="214">
        <v>1</v>
      </c>
      <c r="AE22" s="177"/>
      <c r="AF22" s="178"/>
      <c r="AG22" s="178"/>
      <c r="AH22" s="178"/>
      <c r="AI22" s="178"/>
      <c r="AJ22" s="178"/>
      <c r="AK22" s="178"/>
      <c r="AL22" s="178"/>
      <c r="AM22" s="178"/>
      <c r="AN22" s="178"/>
      <c r="AO22" s="178"/>
      <c r="AP22" s="178"/>
      <c r="AQ22" s="178"/>
      <c r="AR22" s="184"/>
      <c r="AS22" s="3"/>
      <c r="BK22" s="1"/>
    </row>
    <row r="23" spans="2:63" ht="16.5" thickTop="1" thickBot="1" x14ac:dyDescent="0.3">
      <c r="B23" s="97"/>
      <c r="C23" s="81"/>
      <c r="D23" s="71" t="s">
        <v>13</v>
      </c>
      <c r="E23" s="66" t="s">
        <v>56</v>
      </c>
      <c r="F23" s="72" t="str">
        <f t="shared" si="0"/>
        <v>Wraith</v>
      </c>
      <c r="G23" s="82"/>
      <c r="H23" s="8"/>
      <c r="I23" s="8"/>
      <c r="J23" s="180"/>
      <c r="K23" s="178"/>
      <c r="L23" s="178"/>
      <c r="M23" s="178"/>
      <c r="N23" s="179"/>
      <c r="O23" s="178"/>
      <c r="P23" s="178"/>
      <c r="Q23" s="178"/>
      <c r="R23" s="178"/>
      <c r="S23" s="175"/>
      <c r="T23" s="207">
        <v>5</v>
      </c>
      <c r="U23" s="215">
        <v>0</v>
      </c>
      <c r="V23" s="199">
        <v>0</v>
      </c>
      <c r="W23" s="199">
        <v>1</v>
      </c>
      <c r="X23" s="227" t="s">
        <v>9</v>
      </c>
      <c r="Y23" s="199">
        <v>1</v>
      </c>
      <c r="Z23" s="218">
        <v>2</v>
      </c>
      <c r="AA23" s="208">
        <v>2</v>
      </c>
      <c r="AB23" s="215">
        <v>2</v>
      </c>
      <c r="AC23" s="218">
        <v>2</v>
      </c>
      <c r="AD23" s="211">
        <v>3</v>
      </c>
      <c r="AE23" s="177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/>
      <c r="AQ23" s="178"/>
      <c r="AR23" s="185"/>
      <c r="AS23" s="3"/>
      <c r="AV23" s="1" t="s">
        <v>15</v>
      </c>
      <c r="AW23" s="12">
        <v>0.2</v>
      </c>
    </row>
    <row r="24" spans="2:63" ht="16.5" thickTop="1" thickBot="1" x14ac:dyDescent="0.3">
      <c r="B24" s="97"/>
      <c r="C24" s="4"/>
      <c r="D24" s="83"/>
      <c r="E24" s="2"/>
      <c r="F24" s="67"/>
      <c r="G24" s="82"/>
      <c r="H24" s="8"/>
      <c r="I24" s="8"/>
      <c r="J24" s="180"/>
      <c r="K24" s="179"/>
      <c r="L24" s="179"/>
      <c r="M24" s="178"/>
      <c r="N24" s="178"/>
      <c r="O24" s="178"/>
      <c r="P24" s="178"/>
      <c r="Q24" s="178"/>
      <c r="R24" s="178"/>
      <c r="S24" s="175"/>
      <c r="T24" s="209">
        <v>3</v>
      </c>
      <c r="U24" s="210">
        <v>1</v>
      </c>
      <c r="V24" s="210">
        <v>1</v>
      </c>
      <c r="W24" s="210">
        <v>2</v>
      </c>
      <c r="X24" s="210">
        <v>3</v>
      </c>
      <c r="Y24" s="210">
        <v>4</v>
      </c>
      <c r="Z24" s="222">
        <v>5</v>
      </c>
      <c r="AA24" s="219"/>
      <c r="AB24" s="221">
        <v>2</v>
      </c>
      <c r="AC24" s="214">
        <v>2</v>
      </c>
      <c r="AD24" s="223"/>
      <c r="AE24" s="176"/>
      <c r="AF24" s="176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84"/>
      <c r="AS24" s="3"/>
      <c r="AV24" s="8" t="s">
        <v>30</v>
      </c>
    </row>
    <row r="25" spans="2:63" ht="16.5" thickTop="1" thickBot="1" x14ac:dyDescent="0.3">
      <c r="B25" s="97"/>
      <c r="C25" s="4"/>
      <c r="D25" s="74" t="s">
        <v>11</v>
      </c>
      <c r="E25" s="13" t="s">
        <v>56</v>
      </c>
      <c r="F25" s="116" t="s">
        <v>118</v>
      </c>
      <c r="G25" s="84"/>
      <c r="H25" s="8"/>
      <c r="I25" s="8"/>
      <c r="J25" s="181"/>
      <c r="K25" s="178"/>
      <c r="L25" s="178"/>
      <c r="M25" s="178"/>
      <c r="N25" s="178"/>
      <c r="O25" s="178"/>
      <c r="P25" s="178"/>
      <c r="Q25" s="178"/>
      <c r="R25" s="178"/>
      <c r="S25" s="178"/>
      <c r="T25" s="191"/>
      <c r="U25" s="191"/>
      <c r="V25" s="191"/>
      <c r="W25" s="191"/>
      <c r="X25" s="191"/>
      <c r="Y25" s="191"/>
      <c r="Z25" s="220"/>
      <c r="AA25" s="196">
        <v>4</v>
      </c>
      <c r="AB25" s="210">
        <v>3</v>
      </c>
      <c r="AC25" s="224">
        <v>3</v>
      </c>
      <c r="AD25" s="212">
        <v>3</v>
      </c>
      <c r="AE25" s="225">
        <v>3</v>
      </c>
      <c r="AF25" s="197">
        <v>1</v>
      </c>
      <c r="AG25" s="177"/>
      <c r="AH25" s="178"/>
      <c r="AI25" s="178"/>
      <c r="AJ25" s="178"/>
      <c r="AK25" s="178"/>
      <c r="AL25" s="178"/>
      <c r="AM25" s="178"/>
      <c r="AN25" s="178"/>
      <c r="AO25" s="178"/>
      <c r="AP25" s="178"/>
      <c r="AQ25" s="178"/>
      <c r="AR25" s="184"/>
      <c r="AS25" s="3"/>
    </row>
    <row r="26" spans="2:63" ht="16.5" thickTop="1" thickBot="1" x14ac:dyDescent="0.3">
      <c r="B26" s="97"/>
      <c r="C26" s="85"/>
      <c r="D26" s="86"/>
      <c r="E26" s="86"/>
      <c r="F26" s="87"/>
      <c r="G26" s="88"/>
      <c r="H26" s="8"/>
      <c r="I26" s="8"/>
      <c r="J26" s="186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8"/>
      <c r="AA26" s="194"/>
      <c r="AB26" s="194"/>
      <c r="AC26" s="194"/>
      <c r="AD26" s="194"/>
      <c r="AE26" s="194"/>
      <c r="AF26" s="194"/>
      <c r="AG26" s="187"/>
      <c r="AH26" s="187"/>
      <c r="AI26" s="187"/>
      <c r="AJ26" s="187"/>
      <c r="AK26" s="187"/>
      <c r="AL26" s="187"/>
      <c r="AM26" s="187"/>
      <c r="AN26" s="187"/>
      <c r="AO26" s="188"/>
      <c r="AP26" s="188"/>
      <c r="AQ26" s="187"/>
      <c r="AR26" s="189"/>
      <c r="AS26" s="3"/>
    </row>
    <row r="27" spans="2:63" ht="16.5" thickTop="1" thickBot="1" x14ac:dyDescent="0.3">
      <c r="B27" s="98"/>
      <c r="C27" s="8"/>
      <c r="D27" s="8"/>
      <c r="E27" s="8"/>
      <c r="F27" s="8"/>
      <c r="G27" s="67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3"/>
    </row>
    <row r="28" spans="2:63" s="1" customFormat="1" ht="16.5" thickTop="1" thickBot="1" x14ac:dyDescent="0.3">
      <c r="B28" s="98"/>
      <c r="C28" s="93"/>
      <c r="D28" s="93"/>
      <c r="E28" s="93"/>
      <c r="F28" s="93"/>
      <c r="AS28" s="3"/>
    </row>
    <row r="29" spans="2:63" ht="15.75" thickTop="1" x14ac:dyDescent="0.25"/>
  </sheetData>
  <mergeCells count="5">
    <mergeCell ref="D8:E10"/>
    <mergeCell ref="C4:G5"/>
    <mergeCell ref="D13:E13"/>
    <mergeCell ref="M4:T4"/>
    <mergeCell ref="D14:E14"/>
  </mergeCells>
  <conditionalFormatting sqref="AV15 F1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{AC326CEA-764B-41DF-B785-26EB2517EE0D}</x14:id>
        </ext>
      </extLst>
    </cfRule>
  </conditionalFormatting>
  <conditionalFormatting sqref="AV16 F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{23F4F86F-9B05-43F4-8ABD-C4E16C68075C}</x14:id>
        </ext>
      </extLst>
    </cfRule>
  </conditionalFormatting>
  <dataValidations disablePrompts="1" count="1">
    <dataValidation allowBlank="1" showErrorMessage="1" promptTitle="test" prompt="test2" sqref="F10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Restart">
          <controlPr defaultSize="0" autoLine="0" r:id="rId5">
            <anchor moveWithCells="1">
              <from>
                <xdr:col>33</xdr:col>
                <xdr:colOff>76200</xdr:colOff>
                <xdr:row>2</xdr:row>
                <xdr:rowOff>57150</xdr:rowOff>
              </from>
              <to>
                <xdr:col>39</xdr:col>
                <xdr:colOff>190500</xdr:colOff>
                <xdr:row>4</xdr:row>
                <xdr:rowOff>57150</xdr:rowOff>
              </to>
            </anchor>
          </controlPr>
        </control>
      </mc:Choice>
      <mc:Fallback>
        <control shapeId="1028" r:id="rId4" name="bRestart"/>
      </mc:Fallback>
    </mc:AlternateContent>
    <mc:AlternateContent xmlns:mc="http://schemas.openxmlformats.org/markup-compatibility/2006">
      <mc:Choice Requires="x14">
        <control shapeId="1025" r:id="rId6" name="bMainMenu">
          <controlPr defaultSize="0" autoLine="0" r:id="rId7">
            <anchor moveWithCells="1">
              <from>
                <xdr:col>40</xdr:col>
                <xdr:colOff>47625</xdr:colOff>
                <xdr:row>2</xdr:row>
                <xdr:rowOff>57150</xdr:rowOff>
              </from>
              <to>
                <xdr:col>44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1025" r:id="rId6" name="bMainMenu"/>
      </mc:Fallback>
    </mc:AlternateContent>
  </controls>
  <tableParts count="2">
    <tablePart r:id="rId8"/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326CEA-764B-41DF-B785-26EB2517EE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AV15 F12</xm:sqref>
        </x14:conditionalFormatting>
        <x14:conditionalFormatting xmlns:xm="http://schemas.microsoft.com/office/excel/2006/main">
          <x14:cfRule type="dataBar" id="{23F4F86F-9B05-43F4-8ABD-C4E16C6807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AV16 F13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K28"/>
  <sheetViews>
    <sheetView showGridLines="0" zoomScaleNormal="100" workbookViewId="0">
      <pane ySplit="3" topLeftCell="A4" activePane="bottomLeft" state="frozen"/>
      <selection pane="bottomLeft" activeCell="A4" sqref="A4"/>
    </sheetView>
  </sheetViews>
  <sheetFormatPr defaultColWidth="8.85546875" defaultRowHeight="15" x14ac:dyDescent="0.25"/>
  <cols>
    <col min="1" max="29" width="3.42578125" style="1" customWidth="1"/>
    <col min="30" max="16384" width="8.85546875" style="1"/>
  </cols>
  <sheetData>
    <row r="1" spans="1:11" ht="26.25" x14ac:dyDescent="0.4">
      <c r="A1" s="107" t="s">
        <v>90</v>
      </c>
    </row>
    <row r="2" spans="1:11" x14ac:dyDescent="0.25">
      <c r="A2" s="3" t="s">
        <v>61</v>
      </c>
    </row>
    <row r="4" spans="1:11" x14ac:dyDescent="0.25">
      <c r="A4" s="3" t="s">
        <v>114</v>
      </c>
    </row>
    <row r="5" spans="1:11" x14ac:dyDescent="0.25">
      <c r="A5" s="1" t="s">
        <v>154</v>
      </c>
      <c r="K5" s="109" t="s">
        <v>87</v>
      </c>
    </row>
    <row r="6" spans="1:11" x14ac:dyDescent="0.25">
      <c r="K6" s="109"/>
    </row>
    <row r="7" spans="1:11" x14ac:dyDescent="0.25">
      <c r="A7" s="3" t="s">
        <v>86</v>
      </c>
    </row>
    <row r="8" spans="1:11" x14ac:dyDescent="0.25">
      <c r="A8" s="1" t="s">
        <v>151</v>
      </c>
    </row>
    <row r="9" spans="1:11" x14ac:dyDescent="0.25">
      <c r="A9" s="1" t="s">
        <v>115</v>
      </c>
    </row>
    <row r="10" spans="1:11" x14ac:dyDescent="0.25">
      <c r="A10" s="1" t="s">
        <v>116</v>
      </c>
    </row>
    <row r="11" spans="1:11" x14ac:dyDescent="0.25">
      <c r="A11" s="1" t="s">
        <v>117</v>
      </c>
    </row>
    <row r="13" spans="1:11" x14ac:dyDescent="0.25">
      <c r="A13" s="9" t="s">
        <v>153</v>
      </c>
    </row>
    <row r="14" spans="1:11" x14ac:dyDescent="0.25">
      <c r="A14" s="108" t="s">
        <v>85</v>
      </c>
    </row>
    <row r="19" spans="1:2" x14ac:dyDescent="0.25">
      <c r="A19" s="3" t="s">
        <v>88</v>
      </c>
    </row>
    <row r="20" spans="1:2" x14ac:dyDescent="0.25">
      <c r="A20" s="3"/>
    </row>
    <row r="21" spans="1:2" x14ac:dyDescent="0.25">
      <c r="A21" s="1" t="s">
        <v>32</v>
      </c>
    </row>
    <row r="22" spans="1:2" x14ac:dyDescent="0.25">
      <c r="A22" s="1" t="s">
        <v>152</v>
      </c>
    </row>
    <row r="23" spans="1:2" x14ac:dyDescent="0.25">
      <c r="A23" s="1" t="s">
        <v>7</v>
      </c>
      <c r="B23" s="1" t="s">
        <v>89</v>
      </c>
    </row>
    <row r="25" spans="1:2" x14ac:dyDescent="0.25">
      <c r="A25" s="1" t="s">
        <v>156</v>
      </c>
    </row>
    <row r="26" spans="1:2" x14ac:dyDescent="0.25">
      <c r="A26" s="1" t="s">
        <v>159</v>
      </c>
    </row>
    <row r="27" spans="1:2" x14ac:dyDescent="0.25">
      <c r="A27" s="1" t="s">
        <v>7</v>
      </c>
      <c r="B27" s="1" t="s">
        <v>157</v>
      </c>
    </row>
    <row r="28" spans="1:2" x14ac:dyDescent="0.25">
      <c r="A28" s="1" t="s">
        <v>7</v>
      </c>
      <c r="B28" s="1" t="s">
        <v>158</v>
      </c>
    </row>
  </sheetData>
  <hyperlinks>
    <hyperlink ref="A14" r:id="rId1"/>
    <hyperlink ref="K5" r:id="rId2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9217" r:id="rId6" name="bMainMenu">
          <controlPr defaultSize="0" autoLine="0" r:id="rId7">
            <anchor moveWithCells="1">
              <from>
                <xdr:col>25</xdr:col>
                <xdr:colOff>38100</xdr:colOff>
                <xdr:row>0</xdr:row>
                <xdr:rowOff>104775</xdr:rowOff>
              </from>
              <to>
                <xdr:col>29</xdr:col>
                <xdr:colOff>19050</xdr:colOff>
                <xdr:row>1</xdr:row>
                <xdr:rowOff>57150</xdr:rowOff>
              </to>
            </anchor>
          </controlPr>
        </control>
      </mc:Choice>
      <mc:Fallback>
        <control shapeId="9217" r:id="rId6" name="bMain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6"/>
  </sheetPr>
  <dimension ref="A1:AG57"/>
  <sheetViews>
    <sheetView showGridLines="0" zoomScale="130" zoomScaleNormal="130" workbookViewId="0">
      <pane ySplit="3" topLeftCell="A7" activePane="bottomLeft" state="frozen"/>
      <selection pane="bottomLeft" activeCell="AA8" sqref="AA8"/>
    </sheetView>
  </sheetViews>
  <sheetFormatPr defaultRowHeight="15" x14ac:dyDescent="0.25"/>
  <cols>
    <col min="1" max="29" width="3.42578125" customWidth="1"/>
  </cols>
  <sheetData>
    <row r="1" spans="1:14" s="1" customFormat="1" ht="26.25" x14ac:dyDescent="0.4">
      <c r="A1" s="107" t="s">
        <v>48</v>
      </c>
    </row>
    <row r="2" spans="1:14" s="1" customFormat="1" x14ac:dyDescent="0.25">
      <c r="A2" s="3" t="s">
        <v>61</v>
      </c>
    </row>
    <row r="3" spans="1:14" s="1" customFormat="1" x14ac:dyDescent="0.25"/>
    <row r="4" spans="1:14" x14ac:dyDescent="0.25">
      <c r="A4" s="9" t="s">
        <v>37</v>
      </c>
    </row>
    <row r="5" spans="1:14" s="1" customFormat="1" x14ac:dyDescent="0.25">
      <c r="A5" s="9"/>
    </row>
    <row r="6" spans="1:14" s="1" customFormat="1" x14ac:dyDescent="0.25">
      <c r="A6" s="3" t="s">
        <v>138</v>
      </c>
    </row>
    <row r="7" spans="1:14" s="1" customFormat="1" x14ac:dyDescent="0.25">
      <c r="A7" s="9" t="s">
        <v>142</v>
      </c>
      <c r="B7" s="9"/>
      <c r="C7" s="9"/>
      <c r="D7" s="3"/>
      <c r="E7" s="3"/>
      <c r="F7" s="3"/>
    </row>
    <row r="8" spans="1:14" s="1" customFormat="1" x14ac:dyDescent="0.25">
      <c r="A8" s="9" t="s">
        <v>148</v>
      </c>
      <c r="B8" s="9"/>
      <c r="C8" s="9"/>
      <c r="D8" s="3"/>
      <c r="E8" s="3"/>
      <c r="F8" s="3"/>
      <c r="K8" s="74" t="s">
        <v>11</v>
      </c>
    </row>
    <row r="9" spans="1:14" s="2" customFormat="1" x14ac:dyDescent="0.25">
      <c r="A9" s="13"/>
    </row>
    <row r="10" spans="1:14" s="2" customFormat="1" x14ac:dyDescent="0.25">
      <c r="A10" s="2" t="s">
        <v>83</v>
      </c>
    </row>
    <row r="11" spans="1:14" x14ac:dyDescent="0.25">
      <c r="A11" t="s">
        <v>84</v>
      </c>
    </row>
    <row r="12" spans="1:14" s="1" customFormat="1" x14ac:dyDescent="0.25"/>
    <row r="13" spans="1:14" ht="15.75" thickBot="1" x14ac:dyDescent="0.3">
      <c r="F13" s="17"/>
      <c r="G13" s="17"/>
      <c r="H13" s="18"/>
      <c r="I13" s="24"/>
      <c r="J13" s="24"/>
      <c r="K13" s="24"/>
      <c r="L13" s="17"/>
      <c r="M13" s="17"/>
      <c r="N13" s="17"/>
    </row>
    <row r="14" spans="1:14" ht="16.5" thickTop="1" thickBot="1" x14ac:dyDescent="0.3">
      <c r="F14" s="17"/>
      <c r="G14" s="49"/>
      <c r="H14" s="50">
        <v>6</v>
      </c>
      <c r="I14" s="38">
        <v>3</v>
      </c>
      <c r="J14" s="38">
        <v>3</v>
      </c>
      <c r="K14" s="51">
        <v>1</v>
      </c>
      <c r="L14" s="58"/>
      <c r="M14" s="17"/>
      <c r="N14" s="17"/>
    </row>
    <row r="15" spans="1:14" ht="16.5" thickTop="1" thickBot="1" x14ac:dyDescent="0.3">
      <c r="F15" s="19"/>
      <c r="G15" s="52">
        <v>6</v>
      </c>
      <c r="H15" s="27">
        <v>3</v>
      </c>
      <c r="I15" s="32">
        <v>0</v>
      </c>
      <c r="J15" s="36">
        <v>0</v>
      </c>
      <c r="K15" s="31">
        <v>1</v>
      </c>
      <c r="L15" s="57"/>
      <c r="M15" s="18"/>
      <c r="N15" s="16"/>
    </row>
    <row r="16" spans="1:14" ht="15.75" thickTop="1" x14ac:dyDescent="0.25">
      <c r="F16" s="19"/>
      <c r="G16" s="39">
        <v>1</v>
      </c>
      <c r="H16" s="28">
        <v>0</v>
      </c>
      <c r="I16" s="25">
        <v>0</v>
      </c>
      <c r="J16" s="25">
        <v>0</v>
      </c>
      <c r="K16" s="54">
        <v>1</v>
      </c>
      <c r="L16" s="33">
        <v>2</v>
      </c>
      <c r="M16" s="47">
        <v>2</v>
      </c>
      <c r="N16" s="41"/>
    </row>
    <row r="17" spans="1:33" x14ac:dyDescent="0.25">
      <c r="F17" s="19"/>
      <c r="G17" s="39">
        <v>1</v>
      </c>
      <c r="H17" s="37">
        <v>0</v>
      </c>
      <c r="I17" s="35">
        <v>0</v>
      </c>
      <c r="J17" s="26">
        <v>0</v>
      </c>
      <c r="K17" s="25">
        <v>0</v>
      </c>
      <c r="L17" s="46">
        <v>0</v>
      </c>
      <c r="M17" s="22">
        <v>4</v>
      </c>
      <c r="N17" s="41"/>
    </row>
    <row r="18" spans="1:33" x14ac:dyDescent="0.25">
      <c r="F18" s="19"/>
      <c r="G18" s="43">
        <v>2</v>
      </c>
      <c r="H18" s="40">
        <v>1</v>
      </c>
      <c r="I18" s="34">
        <v>1</v>
      </c>
      <c r="J18" s="37">
        <v>1</v>
      </c>
      <c r="K18" s="55">
        <v>0</v>
      </c>
      <c r="L18" s="30">
        <v>0</v>
      </c>
      <c r="M18" s="44">
        <v>4</v>
      </c>
      <c r="N18" s="41"/>
    </row>
    <row r="19" spans="1:33" x14ac:dyDescent="0.25">
      <c r="F19" s="17"/>
      <c r="G19" s="42"/>
      <c r="H19" s="42"/>
      <c r="I19" s="45"/>
      <c r="J19" s="53">
        <v>7</v>
      </c>
      <c r="K19" s="40">
        <v>6</v>
      </c>
      <c r="L19" s="29">
        <v>3</v>
      </c>
      <c r="M19" s="21">
        <v>4</v>
      </c>
      <c r="N19" s="41"/>
    </row>
    <row r="20" spans="1:33" x14ac:dyDescent="0.25">
      <c r="F20" s="17"/>
      <c r="G20" s="16"/>
      <c r="H20" s="17"/>
      <c r="I20" s="17"/>
      <c r="J20" s="42"/>
      <c r="K20" s="42"/>
      <c r="L20" s="20"/>
      <c r="M20" s="42"/>
      <c r="N20" s="56"/>
    </row>
    <row r="22" spans="1:33" x14ac:dyDescent="0.25">
      <c r="A22" t="s">
        <v>146</v>
      </c>
    </row>
    <row r="23" spans="1:33" s="1" customFormat="1" x14ac:dyDescent="0.25">
      <c r="A23" s="3" t="s">
        <v>145</v>
      </c>
    </row>
    <row r="24" spans="1:3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33" x14ac:dyDescent="0.25">
      <c r="A25" s="1"/>
      <c r="B25" s="94" t="s">
        <v>9</v>
      </c>
      <c r="D25" s="15" t="s">
        <v>59</v>
      </c>
      <c r="E25" s="1"/>
      <c r="F25" s="72" t="s">
        <v>81</v>
      </c>
      <c r="G25" s="1"/>
      <c r="H25" s="1"/>
      <c r="I25" s="1"/>
      <c r="J25" s="1"/>
      <c r="K25" s="74" t="s">
        <v>11</v>
      </c>
      <c r="L25" s="1"/>
      <c r="M25" s="174" t="s">
        <v>56</v>
      </c>
      <c r="N25" s="9"/>
      <c r="O25" s="116" t="s">
        <v>57</v>
      </c>
      <c r="P25" s="9"/>
      <c r="Q25" s="9"/>
      <c r="R25" s="9"/>
    </row>
    <row r="26" spans="1:33" x14ac:dyDescent="0.25">
      <c r="A26" s="1"/>
      <c r="B26" s="68" t="s">
        <v>14</v>
      </c>
      <c r="D26" s="15" t="s">
        <v>60</v>
      </c>
      <c r="E26" s="1"/>
      <c r="F26" s="72" t="s">
        <v>50</v>
      </c>
      <c r="G26" s="1"/>
      <c r="H26" s="1"/>
      <c r="I26" s="1"/>
      <c r="J26" s="1"/>
      <c r="K26" s="1"/>
      <c r="R26" s="1"/>
    </row>
    <row r="27" spans="1:33" x14ac:dyDescent="0.25">
      <c r="A27" s="1"/>
      <c r="B27" s="69" t="s">
        <v>12</v>
      </c>
      <c r="D27" s="15" t="s">
        <v>54</v>
      </c>
      <c r="E27" s="1"/>
      <c r="F27" s="72" t="s">
        <v>51</v>
      </c>
      <c r="G27" s="1"/>
      <c r="H27" s="1"/>
      <c r="I27" s="1"/>
      <c r="J27" s="1"/>
      <c r="K27" s="1"/>
      <c r="L27" s="1"/>
      <c r="M27" s="1"/>
    </row>
    <row r="28" spans="1:33" s="1" customFormat="1" x14ac:dyDescent="0.25">
      <c r="B28" s="70" t="s">
        <v>10</v>
      </c>
      <c r="D28" s="15" t="s">
        <v>55</v>
      </c>
      <c r="F28" s="72" t="s">
        <v>52</v>
      </c>
    </row>
    <row r="29" spans="1:33" s="1" customFormat="1" x14ac:dyDescent="0.25">
      <c r="A29" s="59"/>
      <c r="B29" s="71" t="s">
        <v>13</v>
      </c>
      <c r="D29" s="66" t="s">
        <v>56</v>
      </c>
      <c r="F29" s="72" t="s">
        <v>53</v>
      </c>
    </row>
    <row r="30" spans="1:33" s="1" customFormat="1" x14ac:dyDescent="0.25">
      <c r="A30" s="59"/>
      <c r="AF30" s="66"/>
      <c r="AG30" s="72"/>
    </row>
    <row r="31" spans="1:33" x14ac:dyDescent="0.25">
      <c r="A31" s="3" t="s">
        <v>149</v>
      </c>
    </row>
    <row r="32" spans="1:33" s="1" customFormat="1" x14ac:dyDescent="0.25"/>
    <row r="33" spans="1:28" s="1" customFormat="1" x14ac:dyDescent="0.25">
      <c r="B33" s="99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1"/>
      <c r="Q33" s="99"/>
      <c r="R33" s="100"/>
      <c r="S33" s="100"/>
      <c r="T33" s="100"/>
      <c r="U33" s="100"/>
      <c r="V33" s="100"/>
      <c r="W33" s="100"/>
      <c r="X33" s="100"/>
      <c r="Y33" s="100"/>
      <c r="Z33" s="100"/>
      <c r="AA33" s="101"/>
    </row>
    <row r="34" spans="1:28" s="1" customFormat="1" x14ac:dyDescent="0.25">
      <c r="B34" s="102"/>
      <c r="C34" s="13" t="s">
        <v>137</v>
      </c>
      <c r="D34" s="2"/>
      <c r="E34" s="2"/>
      <c r="F34" s="2"/>
      <c r="G34" s="2"/>
      <c r="H34" s="2"/>
      <c r="I34" s="2"/>
      <c r="J34" s="13" t="s">
        <v>131</v>
      </c>
      <c r="K34" s="2"/>
      <c r="L34" s="2"/>
      <c r="M34" s="103"/>
      <c r="Q34" s="102"/>
      <c r="R34" s="13" t="s">
        <v>0</v>
      </c>
      <c r="S34" s="2"/>
      <c r="T34" s="2"/>
      <c r="U34" s="13" t="s">
        <v>140</v>
      </c>
      <c r="V34" s="2"/>
      <c r="W34" s="2"/>
      <c r="X34" s="2"/>
      <c r="Y34" s="2"/>
      <c r="Z34" s="2"/>
      <c r="AA34" s="103"/>
    </row>
    <row r="35" spans="1:28" s="1" customFormat="1" x14ac:dyDescent="0.25">
      <c r="B35" s="102"/>
      <c r="C35" s="2" t="s">
        <v>130</v>
      </c>
      <c r="D35" s="2"/>
      <c r="E35" s="2"/>
      <c r="F35" s="2"/>
      <c r="G35" s="2"/>
      <c r="H35" s="2"/>
      <c r="I35" s="2"/>
      <c r="J35" s="2">
        <v>1</v>
      </c>
      <c r="K35" s="2"/>
      <c r="L35" s="2"/>
      <c r="M35" s="103"/>
      <c r="Q35" s="102"/>
      <c r="R35" s="2">
        <v>1</v>
      </c>
      <c r="S35" s="2"/>
      <c r="T35" s="2"/>
      <c r="U35" s="259">
        <f>Game!BD7</f>
        <v>100</v>
      </c>
      <c r="V35" s="259"/>
      <c r="W35" s="259"/>
      <c r="X35" s="259"/>
      <c r="Y35" s="259"/>
      <c r="Z35" s="259"/>
      <c r="AA35" s="103"/>
    </row>
    <row r="36" spans="1:28" s="1" customFormat="1" x14ac:dyDescent="0.25">
      <c r="B36" s="102"/>
      <c r="C36" s="2" t="s">
        <v>132</v>
      </c>
      <c r="D36" s="2"/>
      <c r="E36" s="2"/>
      <c r="F36" s="94" t="s">
        <v>9</v>
      </c>
      <c r="G36" s="2"/>
      <c r="H36" s="2"/>
      <c r="I36" s="2"/>
      <c r="J36" s="2">
        <f>Game!BB7</f>
        <v>5</v>
      </c>
      <c r="K36" s="2"/>
      <c r="L36" s="2"/>
      <c r="M36" s="103"/>
      <c r="Q36" s="102"/>
      <c r="R36" s="2">
        <v>2</v>
      </c>
      <c r="S36" s="2"/>
      <c r="T36" s="2"/>
      <c r="U36" s="259">
        <f>Game!BD8</f>
        <v>300</v>
      </c>
      <c r="V36" s="259"/>
      <c r="W36" s="259"/>
      <c r="X36" s="259"/>
      <c r="Y36" s="259"/>
      <c r="Z36" s="259"/>
      <c r="AA36" s="103"/>
    </row>
    <row r="37" spans="1:28" s="1" customFormat="1" x14ac:dyDescent="0.25">
      <c r="B37" s="102"/>
      <c r="C37" s="2" t="s">
        <v>133</v>
      </c>
      <c r="D37" s="2"/>
      <c r="E37" s="2"/>
      <c r="F37" s="68" t="s">
        <v>14</v>
      </c>
      <c r="G37" s="2"/>
      <c r="H37" s="2"/>
      <c r="I37" s="2"/>
      <c r="J37" s="2">
        <f>Game!BB8</f>
        <v>10</v>
      </c>
      <c r="K37" s="2"/>
      <c r="L37" s="2"/>
      <c r="M37" s="103"/>
      <c r="Q37" s="102"/>
      <c r="R37" s="2">
        <v>3</v>
      </c>
      <c r="S37" s="2"/>
      <c r="T37" s="2"/>
      <c r="U37" s="259">
        <f>Game!BD9</f>
        <v>400</v>
      </c>
      <c r="V37" s="259"/>
      <c r="W37" s="259"/>
      <c r="X37" s="259"/>
      <c r="Y37" s="259"/>
      <c r="Z37" s="259"/>
      <c r="AA37" s="103"/>
    </row>
    <row r="38" spans="1:28" s="1" customFormat="1" x14ac:dyDescent="0.25">
      <c r="B38" s="102"/>
      <c r="C38" s="2" t="s">
        <v>134</v>
      </c>
      <c r="D38" s="2"/>
      <c r="E38" s="2"/>
      <c r="F38" s="69" t="s">
        <v>12</v>
      </c>
      <c r="G38" s="2"/>
      <c r="H38" s="2"/>
      <c r="I38" s="2"/>
      <c r="J38" s="2">
        <f>Game!BB9</f>
        <v>15</v>
      </c>
      <c r="K38" s="2"/>
      <c r="L38" s="2"/>
      <c r="M38" s="103"/>
      <c r="Q38" s="102"/>
      <c r="R38" s="2">
        <v>4</v>
      </c>
      <c r="S38" s="2"/>
      <c r="T38" s="2"/>
      <c r="U38" s="259">
        <f>Game!BD10</f>
        <v>500</v>
      </c>
      <c r="V38" s="259"/>
      <c r="W38" s="259"/>
      <c r="X38" s="259"/>
      <c r="Y38" s="259"/>
      <c r="Z38" s="259"/>
      <c r="AA38" s="103"/>
    </row>
    <row r="39" spans="1:28" s="1" customFormat="1" x14ac:dyDescent="0.25">
      <c r="B39" s="102"/>
      <c r="C39" s="2" t="s">
        <v>135</v>
      </c>
      <c r="D39" s="2"/>
      <c r="E39" s="2"/>
      <c r="F39" s="70" t="s">
        <v>10</v>
      </c>
      <c r="G39" s="2"/>
      <c r="H39" s="2"/>
      <c r="I39" s="2"/>
      <c r="J39" s="2">
        <f>Game!BB10</f>
        <v>20</v>
      </c>
      <c r="K39" s="2"/>
      <c r="L39" s="2"/>
      <c r="M39" s="103"/>
      <c r="Q39" s="102"/>
      <c r="R39" s="2">
        <v>5</v>
      </c>
      <c r="S39" s="2"/>
      <c r="T39" s="2"/>
      <c r="U39" s="259" t="s">
        <v>141</v>
      </c>
      <c r="V39" s="259"/>
      <c r="W39" s="259"/>
      <c r="X39" s="259"/>
      <c r="Y39" s="259"/>
      <c r="Z39" s="259"/>
      <c r="AA39" s="103"/>
    </row>
    <row r="40" spans="1:28" s="1" customFormat="1" x14ac:dyDescent="0.25">
      <c r="B40" s="102"/>
      <c r="C40" s="2" t="s">
        <v>136</v>
      </c>
      <c r="D40" s="2"/>
      <c r="E40" s="2"/>
      <c r="F40" s="71" t="s">
        <v>13</v>
      </c>
      <c r="G40" s="2"/>
      <c r="H40" s="2"/>
      <c r="I40" s="2"/>
      <c r="J40" s="2">
        <f>Game!BB11</f>
        <v>30</v>
      </c>
      <c r="K40" s="2"/>
      <c r="L40" s="2"/>
      <c r="M40" s="103"/>
      <c r="Q40" s="102"/>
      <c r="R40" s="2"/>
      <c r="S40" s="2"/>
      <c r="T40" s="2"/>
      <c r="U40" s="2"/>
      <c r="V40" s="2"/>
      <c r="W40" s="2"/>
      <c r="X40" s="2"/>
      <c r="Y40" s="2"/>
      <c r="Z40" s="2"/>
      <c r="AA40" s="103"/>
    </row>
    <row r="41" spans="1:28" s="1" customFormat="1" x14ac:dyDescent="0.25">
      <c r="B41" s="104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6"/>
      <c r="Q41" s="104"/>
      <c r="R41" s="105"/>
      <c r="S41" s="105"/>
      <c r="T41" s="105"/>
      <c r="U41" s="105"/>
      <c r="V41" s="105"/>
      <c r="W41" s="105"/>
      <c r="X41" s="105"/>
      <c r="Y41" s="105"/>
      <c r="Z41" s="105"/>
      <c r="AA41" s="106"/>
    </row>
    <row r="42" spans="1:28" s="1" customFormat="1" x14ac:dyDescent="0.25"/>
    <row r="43" spans="1:28" s="1" customFormat="1" x14ac:dyDescent="0.25">
      <c r="A43" s="1" t="s">
        <v>147</v>
      </c>
    </row>
    <row r="44" spans="1:28" s="1" customFormat="1" x14ac:dyDescent="0.25">
      <c r="A44" s="1" t="s">
        <v>82</v>
      </c>
    </row>
    <row r="45" spans="1:28" s="1" customFormat="1" x14ac:dyDescent="0.25"/>
    <row r="46" spans="1:28" s="1" customFormat="1" x14ac:dyDescent="0.2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1"/>
      <c r="N46"/>
    </row>
    <row r="47" spans="1:28" s="1" customFormat="1" x14ac:dyDescent="0.25">
      <c r="B47" s="102"/>
      <c r="C47" s="10" t="s">
        <v>42</v>
      </c>
      <c r="D47" s="13"/>
      <c r="E47" s="2"/>
      <c r="F47" s="2"/>
      <c r="G47" s="2"/>
      <c r="H47" s="2"/>
      <c r="I47" s="13" t="s">
        <v>41</v>
      </c>
      <c r="J47" s="2"/>
      <c r="K47" s="2"/>
      <c r="L47" s="2"/>
      <c r="M47" s="103"/>
      <c r="N47"/>
    </row>
    <row r="48" spans="1:28" s="1" customFormat="1" x14ac:dyDescent="0.25">
      <c r="B48" s="102"/>
      <c r="C48" s="60" t="s">
        <v>43</v>
      </c>
      <c r="D48" s="2"/>
      <c r="E48" s="2"/>
      <c r="F48" s="2"/>
      <c r="G48" s="2"/>
      <c r="H48" s="2"/>
      <c r="I48" s="258" t="s">
        <v>44</v>
      </c>
      <c r="J48" s="258"/>
      <c r="K48" s="258"/>
      <c r="L48" s="258"/>
      <c r="M48" s="103"/>
      <c r="N48"/>
    </row>
    <row r="49" spans="1:13" s="1" customFormat="1" x14ac:dyDescent="0.25">
      <c r="B49" s="102"/>
      <c r="C49" s="60" t="s">
        <v>45</v>
      </c>
      <c r="D49" s="2"/>
      <c r="E49" s="2"/>
      <c r="F49" s="2"/>
      <c r="G49" s="2"/>
      <c r="H49" s="2"/>
      <c r="I49" s="258" t="s">
        <v>46</v>
      </c>
      <c r="J49" s="258"/>
      <c r="K49" s="258"/>
      <c r="L49" s="258"/>
      <c r="M49" s="103"/>
    </row>
    <row r="50" spans="1:13" s="1" customFormat="1" x14ac:dyDescent="0.25">
      <c r="B50" s="102"/>
      <c r="C50" s="60" t="s">
        <v>47</v>
      </c>
      <c r="D50" s="2"/>
      <c r="E50" s="2"/>
      <c r="F50" s="2"/>
      <c r="G50" s="2"/>
      <c r="H50" s="2"/>
      <c r="I50" s="257" t="s">
        <v>49</v>
      </c>
      <c r="J50" s="257"/>
      <c r="K50" s="257"/>
      <c r="L50" s="257"/>
      <c r="M50" s="103"/>
    </row>
    <row r="51" spans="1:13" s="1" customFormat="1" x14ac:dyDescent="0.25">
      <c r="B51" s="104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6"/>
    </row>
    <row r="52" spans="1:13" s="1" customFormat="1" x14ac:dyDescent="0.2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s="1" customFormat="1" x14ac:dyDescent="0.25">
      <c r="A53" s="1" t="s">
        <v>139</v>
      </c>
    </row>
    <row r="54" spans="1:13" s="1" customFormat="1" x14ac:dyDescent="0.25"/>
    <row r="55" spans="1:13" x14ac:dyDescent="0.25">
      <c r="A55" s="3" t="s">
        <v>143</v>
      </c>
    </row>
    <row r="56" spans="1:13" x14ac:dyDescent="0.25">
      <c r="A56" s="9" t="s">
        <v>109</v>
      </c>
    </row>
    <row r="57" spans="1:13" x14ac:dyDescent="0.25">
      <c r="A57" t="s">
        <v>144</v>
      </c>
    </row>
  </sheetData>
  <mergeCells count="8">
    <mergeCell ref="I50:L50"/>
    <mergeCell ref="I49:L49"/>
    <mergeCell ref="I48:L48"/>
    <mergeCell ref="U35:Z35"/>
    <mergeCell ref="U36:Z36"/>
    <mergeCell ref="U37:Z37"/>
    <mergeCell ref="U38:Z38"/>
    <mergeCell ref="U39:Z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bMainMenu">
          <controlPr defaultSize="0" autoLine="0" r:id="rId5">
            <anchor moveWithCells="1">
              <from>
                <xdr:col>25</xdr:col>
                <xdr:colOff>38100</xdr:colOff>
                <xdr:row>0</xdr:row>
                <xdr:rowOff>104775</xdr:rowOff>
              </from>
              <to>
                <xdr:col>29</xdr:col>
                <xdr:colOff>19050</xdr:colOff>
                <xdr:row>1</xdr:row>
                <xdr:rowOff>57150</xdr:rowOff>
              </to>
            </anchor>
          </controlPr>
        </control>
      </mc:Choice>
      <mc:Fallback>
        <control shapeId="4099" r:id="rId4" name="bMain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Main</vt:lpstr>
      <vt:lpstr>Game</vt:lpstr>
      <vt:lpstr>About</vt:lpstr>
      <vt:lpstr>Help</vt:lpstr>
      <vt:lpstr>About!enemy_blue</vt:lpstr>
      <vt:lpstr>enemy_blue</vt:lpstr>
      <vt:lpstr>enemy_chance</vt:lpstr>
      <vt:lpstr>About!enemy_char_dungeon</vt:lpstr>
      <vt:lpstr>enemy_char_dungeon</vt:lpstr>
      <vt:lpstr>About!enemy_distribution</vt:lpstr>
      <vt:lpstr>enemy_distribution</vt:lpstr>
      <vt:lpstr>About!enemy_green</vt:lpstr>
      <vt:lpstr>enemy_green</vt:lpstr>
      <vt:lpstr>enemy_level_up_chance</vt:lpstr>
      <vt:lpstr>About!enemy_red</vt:lpstr>
      <vt:lpstr>enemy_red</vt:lpstr>
      <vt:lpstr>About!enemy_xp</vt:lpstr>
      <vt:lpstr>enemy_xp</vt:lpstr>
      <vt:lpstr>help_viewed</vt:lpstr>
      <vt:lpstr>portrait</vt:lpstr>
      <vt:lpstr>rAbility</vt:lpstr>
      <vt:lpstr>rBoard</vt:lpstr>
      <vt:lpstr>rClass</vt:lpstr>
      <vt:lpstr>rClassPicked</vt:lpstr>
      <vt:lpstr>rFighter</vt:lpstr>
      <vt:lpstr>rHP</vt:lpstr>
      <vt:lpstr>rIsLocked</vt:lpstr>
      <vt:lpstr>rLevel</vt:lpstr>
      <vt:lpstr>rMaxHP</vt:lpstr>
      <vt:lpstr>rTime</vt:lpstr>
      <vt:lpstr>rXP</vt:lpstr>
      <vt:lpstr>rXPLabel</vt:lpstr>
      <vt:lpstr>xp_conditional</vt:lpstr>
      <vt:lpstr>About!xp_to_next</vt:lpstr>
      <vt:lpstr>xp_to_next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 dela Paz</dc:creator>
  <cp:lastModifiedBy>Wil</cp:lastModifiedBy>
  <cp:lastPrinted>2014-03-12T02:31:09Z</cp:lastPrinted>
  <dcterms:created xsi:type="dcterms:W3CDTF">2014-03-12T01:04:54Z</dcterms:created>
  <dcterms:modified xsi:type="dcterms:W3CDTF">2015-09-02T11:46:47Z</dcterms:modified>
</cp:coreProperties>
</file>